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lee/Desktop/Halo Nite/Season 6 Data/"/>
    </mc:Choice>
  </mc:AlternateContent>
  <xr:revisionPtr revIDLastSave="0" documentId="13_ncr:1_{190C6967-83CA-2C45-B79D-02C152388AEB}" xr6:coauthVersionLast="47" xr6:coauthVersionMax="47" xr10:uidLastSave="{00000000-0000-0000-0000-000000000000}"/>
  <bookViews>
    <workbookView xWindow="0" yWindow="500" windowWidth="14620" windowHeight="15440" xr2:uid="{904A3320-C89E-FE41-9BD7-2CC10A69F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  <c r="F51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H51" i="1" a="1"/>
  <c r="H51" i="1" s="1"/>
  <c r="I51" i="1" s="1" a="1"/>
  <c r="I51" i="1" s="1"/>
  <c r="J51" i="1" s="1" a="1"/>
  <c r="J51" i="1" s="1"/>
  <c r="K51" i="1" a="1"/>
  <c r="K51" i="1" s="1"/>
  <c r="C52" i="1"/>
  <c r="H52" i="1" a="1"/>
  <c r="H52" i="1" s="1"/>
  <c r="I52" i="1" s="1" a="1"/>
  <c r="I52" i="1" s="1"/>
  <c r="J52" i="1" s="1" a="1"/>
  <c r="J52" i="1" s="1"/>
  <c r="K52" i="1" a="1"/>
  <c r="K52" i="1" s="1"/>
  <c r="C53" i="1"/>
  <c r="H53" i="1" a="1"/>
  <c r="H53" i="1" s="1"/>
  <c r="I53" i="1" s="1" a="1"/>
  <c r="I53" i="1" s="1"/>
  <c r="J53" i="1" s="1" a="1"/>
  <c r="J53" i="1" s="1"/>
  <c r="K53" i="1" a="1"/>
  <c r="K53" i="1" s="1"/>
  <c r="C54" i="1"/>
  <c r="H54" i="1" a="1"/>
  <c r="H54" i="1" s="1"/>
  <c r="I54" i="1" s="1" a="1"/>
  <c r="I54" i="1" s="1"/>
  <c r="J54" i="1" s="1" a="1"/>
  <c r="J54" i="1" s="1"/>
  <c r="K54" i="1" a="1"/>
  <c r="K54" i="1" s="1"/>
  <c r="C55" i="1"/>
  <c r="H55" i="1" a="1"/>
  <c r="H55" i="1" s="1"/>
  <c r="I55" i="1" s="1" a="1"/>
  <c r="I55" i="1" s="1"/>
  <c r="K55" i="1" a="1"/>
  <c r="K55" i="1" s="1"/>
  <c r="G56" i="1" s="1"/>
  <c r="C56" i="1"/>
  <c r="H56" i="1" a="1"/>
  <c r="H56" i="1" s="1"/>
  <c r="I56" i="1" s="1" a="1"/>
  <c r="I56" i="1" s="1"/>
  <c r="J56" i="1" s="1" a="1"/>
  <c r="J56" i="1" s="1"/>
  <c r="K56" i="1" a="1"/>
  <c r="K56" i="1" s="1"/>
  <c r="C57" i="1"/>
  <c r="H57" i="1" a="1"/>
  <c r="H57" i="1" s="1"/>
  <c r="I57" i="1" s="1" a="1"/>
  <c r="I57" i="1" s="1"/>
  <c r="J57" i="1" s="1" a="1"/>
  <c r="J57" i="1" s="1"/>
  <c r="K57" i="1" a="1"/>
  <c r="K57" i="1" s="1"/>
  <c r="C58" i="1"/>
  <c r="H58" i="1" a="1"/>
  <c r="H58" i="1" s="1"/>
  <c r="I58" i="1" s="1" a="1"/>
  <c r="I58" i="1" s="1"/>
  <c r="J58" i="1" s="1" a="1"/>
  <c r="J58" i="1" s="1"/>
  <c r="K58" i="1" a="1"/>
  <c r="K58" i="1" s="1"/>
  <c r="C59" i="1"/>
  <c r="H59" i="1" a="1"/>
  <c r="H59" i="1" s="1"/>
  <c r="I59" i="1" s="1" a="1"/>
  <c r="I59" i="1" s="1"/>
  <c r="J59" i="1" s="1" a="1"/>
  <c r="J59" i="1" s="1"/>
  <c r="K59" i="1" a="1"/>
  <c r="K59" i="1" s="1"/>
  <c r="L59" i="1" s="1"/>
  <c r="C60" i="1"/>
  <c r="H60" i="1" a="1"/>
  <c r="H60" i="1" s="1"/>
  <c r="I60" i="1" s="1" a="1"/>
  <c r="I60" i="1" s="1"/>
  <c r="J60" i="1" s="1" a="1"/>
  <c r="J60" i="1" s="1"/>
  <c r="K60" i="1" a="1"/>
  <c r="K60" i="1" s="1"/>
  <c r="C61" i="1"/>
  <c r="H61" i="1" a="1"/>
  <c r="H61" i="1" s="1"/>
  <c r="I61" i="1" s="1" a="1"/>
  <c r="I61" i="1" s="1"/>
  <c r="J61" i="1" s="1" a="1"/>
  <c r="J61" i="1" s="1"/>
  <c r="K61" i="1" a="1"/>
  <c r="K61" i="1" s="1"/>
  <c r="C62" i="1"/>
  <c r="H62" i="1" a="1"/>
  <c r="H62" i="1" s="1"/>
  <c r="I62" i="1" s="1" a="1"/>
  <c r="I62" i="1" s="1"/>
  <c r="J62" i="1" s="1" a="1"/>
  <c r="J62" i="1" s="1"/>
  <c r="K62" i="1" a="1"/>
  <c r="K62" i="1" s="1"/>
  <c r="L62" i="1" l="1"/>
  <c r="L51" i="1"/>
  <c r="L60" i="1"/>
  <c r="G59" i="1"/>
  <c r="G60" i="1" s="1"/>
  <c r="G61" i="1" s="1"/>
  <c r="G62" i="1" s="1"/>
  <c r="L58" i="1"/>
  <c r="L52" i="1"/>
  <c r="L53" i="1"/>
  <c r="L57" i="1"/>
  <c r="L61" i="1"/>
  <c r="J55" i="1" a="1"/>
  <c r="J55" i="1" s="1"/>
  <c r="L55" i="1"/>
  <c r="G57" i="1"/>
  <c r="G58" i="1" s="1"/>
  <c r="L56" i="1"/>
  <c r="L54" i="1"/>
  <c r="K6" i="1" l="1" a="1"/>
  <c r="K6" i="1" s="1"/>
  <c r="C38" i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H38" i="1" a="1"/>
  <c r="H38" i="1" s="1"/>
  <c r="I38" i="1" s="1" a="1"/>
  <c r="I38" i="1" s="1"/>
  <c r="J38" i="1" s="1" a="1"/>
  <c r="J38" i="1" s="1"/>
  <c r="K38" i="1" a="1"/>
  <c r="K38" i="1" s="1"/>
  <c r="C47" i="1"/>
  <c r="H47" i="1" a="1"/>
  <c r="H47" i="1" s="1"/>
  <c r="I47" i="1" s="1" a="1"/>
  <c r="I47" i="1" s="1"/>
  <c r="J47" i="1" s="1" a="1"/>
  <c r="J47" i="1" s="1"/>
  <c r="K47" i="1" a="1"/>
  <c r="K47" i="1" s="1"/>
  <c r="C48" i="1"/>
  <c r="H48" i="1" a="1"/>
  <c r="H48" i="1" s="1"/>
  <c r="I48" i="1" s="1" a="1"/>
  <c r="I48" i="1" s="1"/>
  <c r="J48" i="1" s="1" a="1"/>
  <c r="J48" i="1" s="1"/>
  <c r="K48" i="1" a="1"/>
  <c r="K48" i="1" s="1"/>
  <c r="C49" i="1"/>
  <c r="H49" i="1" a="1"/>
  <c r="H49" i="1" s="1"/>
  <c r="I49" i="1" s="1" a="1"/>
  <c r="I49" i="1" s="1"/>
  <c r="J49" i="1" s="1" a="1"/>
  <c r="J49" i="1" s="1"/>
  <c r="K49" i="1" a="1"/>
  <c r="K49" i="1" s="1"/>
  <c r="C50" i="1"/>
  <c r="H50" i="1" a="1"/>
  <c r="H50" i="1" s="1"/>
  <c r="I50" i="1" s="1" a="1"/>
  <c r="I50" i="1" s="1"/>
  <c r="J50" i="1" s="1" a="1"/>
  <c r="J50" i="1" s="1"/>
  <c r="K50" i="1" a="1"/>
  <c r="K50" i="1" s="1"/>
  <c r="C42" i="1"/>
  <c r="H42" i="1" a="1"/>
  <c r="H42" i="1" s="1"/>
  <c r="I42" i="1" s="1" a="1"/>
  <c r="I42" i="1" s="1"/>
  <c r="J42" i="1" s="1" a="1"/>
  <c r="J42" i="1" s="1"/>
  <c r="K42" i="1" a="1"/>
  <c r="K42" i="1" s="1"/>
  <c r="C43" i="1"/>
  <c r="H43" i="1" a="1"/>
  <c r="H43" i="1" s="1"/>
  <c r="I43" i="1" s="1" a="1"/>
  <c r="I43" i="1" s="1"/>
  <c r="J43" i="1" s="1" a="1"/>
  <c r="J43" i="1" s="1"/>
  <c r="K43" i="1" a="1"/>
  <c r="K43" i="1" s="1"/>
  <c r="C44" i="1"/>
  <c r="H44" i="1" a="1"/>
  <c r="H44" i="1" s="1"/>
  <c r="I44" i="1" s="1" a="1"/>
  <c r="I44" i="1" s="1"/>
  <c r="J44" i="1" s="1" a="1"/>
  <c r="J44" i="1" s="1"/>
  <c r="K44" i="1" a="1"/>
  <c r="K44" i="1" s="1"/>
  <c r="C45" i="1"/>
  <c r="H45" i="1" a="1"/>
  <c r="H45" i="1" s="1"/>
  <c r="I45" i="1" s="1" a="1"/>
  <c r="I45" i="1" s="1"/>
  <c r="J45" i="1" s="1" a="1"/>
  <c r="J45" i="1" s="1"/>
  <c r="K45" i="1" a="1"/>
  <c r="K45" i="1" s="1"/>
  <c r="C46" i="1"/>
  <c r="H46" i="1" a="1"/>
  <c r="H46" i="1" s="1"/>
  <c r="I46" i="1" s="1" a="1"/>
  <c r="I46" i="1" s="1"/>
  <c r="J46" i="1" s="1" a="1"/>
  <c r="J46" i="1" s="1"/>
  <c r="K46" i="1" a="1"/>
  <c r="K46" i="1" s="1"/>
  <c r="C41" i="1"/>
  <c r="H41" i="1" a="1"/>
  <c r="H41" i="1" s="1"/>
  <c r="I41" i="1" s="1" a="1"/>
  <c r="I41" i="1" s="1"/>
  <c r="J41" i="1" s="1" a="1"/>
  <c r="J41" i="1" s="1"/>
  <c r="K41" i="1" a="1"/>
  <c r="K41" i="1" s="1"/>
  <c r="C39" i="1"/>
  <c r="H39" i="1" a="1"/>
  <c r="H39" i="1" s="1"/>
  <c r="I39" i="1" s="1" a="1"/>
  <c r="I39" i="1" s="1"/>
  <c r="J39" i="1" s="1" a="1"/>
  <c r="J39" i="1" s="1"/>
  <c r="K39" i="1" a="1"/>
  <c r="K39" i="1" s="1"/>
  <c r="L39" i="1" s="1"/>
  <c r="C40" i="1"/>
  <c r="H40" i="1" a="1"/>
  <c r="H40" i="1" s="1"/>
  <c r="I40" i="1" s="1" a="1"/>
  <c r="I40" i="1" s="1"/>
  <c r="J40" i="1" s="1" a="1"/>
  <c r="J40" i="1" s="1"/>
  <c r="K40" i="1" a="1"/>
  <c r="K40" i="1" s="1"/>
  <c r="K16" i="1" a="1"/>
  <c r="K16" i="1" s="1"/>
  <c r="K17" i="1" a="1"/>
  <c r="K17" i="1" s="1"/>
  <c r="K18" i="1" a="1"/>
  <c r="K18" i="1" s="1"/>
  <c r="G19" i="1" s="1"/>
  <c r="K19" i="1" a="1"/>
  <c r="K19" i="1" s="1"/>
  <c r="K20" i="1" a="1"/>
  <c r="K20" i="1" s="1"/>
  <c r="K21" i="1" a="1"/>
  <c r="K21" i="1" s="1"/>
  <c r="K22" i="1" a="1"/>
  <c r="K22" i="1" s="1"/>
  <c r="G23" i="1" s="1"/>
  <c r="K23" i="1" a="1"/>
  <c r="K23" i="1" s="1"/>
  <c r="K24" i="1" a="1"/>
  <c r="K24" i="1" s="1"/>
  <c r="K25" i="1" a="1"/>
  <c r="K25" i="1" s="1"/>
  <c r="G26" i="1" s="1"/>
  <c r="K26" i="1" a="1"/>
  <c r="K26" i="1" s="1"/>
  <c r="K27" i="1" a="1"/>
  <c r="K27" i="1" s="1"/>
  <c r="K28" i="1" a="1"/>
  <c r="K28" i="1" s="1"/>
  <c r="L28" i="1" s="1"/>
  <c r="K29" i="1" a="1"/>
  <c r="K29" i="1" s="1"/>
  <c r="G30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G35" i="1" s="1"/>
  <c r="K35" i="1" a="1"/>
  <c r="K35" i="1" s="1"/>
  <c r="K36" i="1" a="1"/>
  <c r="K36" i="1" s="1"/>
  <c r="K37" i="1" a="1"/>
  <c r="K37" i="1" s="1"/>
  <c r="G38" i="1" s="1"/>
  <c r="F26" i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2" i="1" a="1"/>
  <c r="H2" i="1" s="1"/>
  <c r="L40" i="1" l="1"/>
  <c r="L50" i="1"/>
  <c r="G51" i="1"/>
  <c r="G52" i="1" s="1"/>
  <c r="G53" i="1" s="1"/>
  <c r="G54" i="1" s="1"/>
  <c r="G55" i="1" s="1"/>
  <c r="L45" i="1"/>
  <c r="L38" i="1"/>
  <c r="E39" i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G39" i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L46" i="1"/>
  <c r="L41" i="1"/>
  <c r="L48" i="1"/>
  <c r="L49" i="1"/>
  <c r="L47" i="1"/>
  <c r="L44" i="1"/>
  <c r="L43" i="1"/>
  <c r="L42" i="1"/>
  <c r="G20" i="1"/>
  <c r="G21" i="1" s="1"/>
  <c r="G22" i="1" s="1"/>
  <c r="G24" i="1"/>
  <c r="G25" i="1" s="1"/>
  <c r="G36" i="1"/>
  <c r="G37" i="1" s="1"/>
  <c r="G27" i="1"/>
  <c r="G28" i="1" s="1"/>
  <c r="G29" i="1" s="1"/>
  <c r="L26" i="1"/>
  <c r="G31" i="1"/>
  <c r="G32" i="1" s="1"/>
  <c r="G33" i="1" s="1"/>
  <c r="G34" i="1" s="1"/>
  <c r="L30" i="1"/>
  <c r="L31" i="1"/>
  <c r="L32" i="1"/>
  <c r="L33" i="1"/>
  <c r="L35" i="1"/>
  <c r="L36" i="1"/>
  <c r="L27" i="1"/>
  <c r="I26" i="1" a="1"/>
  <c r="I26" i="1" s="1"/>
  <c r="J26" i="1" s="1" a="1"/>
  <c r="J26" i="1" s="1"/>
  <c r="I27" i="1" a="1"/>
  <c r="I27" i="1" s="1"/>
  <c r="J27" i="1" s="1" a="1"/>
  <c r="J27" i="1" s="1"/>
  <c r="I28" i="1" a="1"/>
  <c r="I28" i="1" s="1"/>
  <c r="J28" i="1" s="1" a="1"/>
  <c r="J28" i="1" s="1"/>
  <c r="I29" i="1" a="1"/>
  <c r="I29" i="1" s="1"/>
  <c r="J29" i="1" s="1" a="1"/>
  <c r="J29" i="1" s="1"/>
  <c r="I30" i="1" a="1"/>
  <c r="I30" i="1" s="1"/>
  <c r="J30" i="1" s="1" a="1"/>
  <c r="J30" i="1" s="1"/>
  <c r="I31" i="1" a="1"/>
  <c r="I31" i="1" s="1"/>
  <c r="J31" i="1" s="1" a="1"/>
  <c r="J31" i="1" s="1"/>
  <c r="I32" i="1" a="1"/>
  <c r="I32" i="1" s="1"/>
  <c r="J32" i="1" s="1" a="1"/>
  <c r="J32" i="1" s="1"/>
  <c r="I33" i="1" a="1"/>
  <c r="I33" i="1" s="1"/>
  <c r="J33" i="1" s="1" a="1"/>
  <c r="J33" i="1" s="1"/>
  <c r="I34" i="1" a="1"/>
  <c r="I34" i="1" s="1"/>
  <c r="J34" i="1" s="1" a="1"/>
  <c r="J34" i="1" s="1"/>
  <c r="I35" i="1" a="1"/>
  <c r="I35" i="1" s="1"/>
  <c r="J35" i="1" s="1" a="1"/>
  <c r="J35" i="1" s="1"/>
  <c r="I36" i="1" a="1"/>
  <c r="I36" i="1" s="1"/>
  <c r="J36" i="1" s="1" a="1"/>
  <c r="J36" i="1" s="1"/>
  <c r="I37" i="1" a="1"/>
  <c r="I37" i="1" s="1"/>
  <c r="J37" i="1" s="1" a="1"/>
  <c r="J37" i="1" s="1"/>
  <c r="L16" i="1"/>
  <c r="L17" i="1"/>
  <c r="L19" i="1"/>
  <c r="L20" i="1"/>
  <c r="L21" i="1"/>
  <c r="L23" i="1"/>
  <c r="L24" i="1"/>
  <c r="I24" i="1" a="1"/>
  <c r="I24" i="1" s="1"/>
  <c r="J24" i="1" s="1" a="1"/>
  <c r="J24" i="1" s="1"/>
  <c r="I25" i="1" a="1"/>
  <c r="I25" i="1" s="1"/>
  <c r="J25" i="1" s="1" a="1"/>
  <c r="J25" i="1" s="1"/>
  <c r="I23" i="1" a="1"/>
  <c r="I23" i="1" s="1"/>
  <c r="J23" i="1" s="1" a="1"/>
  <c r="J23" i="1" s="1"/>
  <c r="I22" i="1" a="1"/>
  <c r="I22" i="1" s="1"/>
  <c r="J22" i="1" s="1" a="1"/>
  <c r="J22" i="1" s="1"/>
  <c r="I21" i="1" a="1"/>
  <c r="I21" i="1" s="1"/>
  <c r="J21" i="1" s="1" a="1"/>
  <c r="J21" i="1" s="1"/>
  <c r="I20" i="1" a="1"/>
  <c r="I20" i="1" s="1"/>
  <c r="J20" i="1" s="1" a="1"/>
  <c r="J20" i="1" s="1"/>
  <c r="I19" i="1" a="1"/>
  <c r="I19" i="1" s="1"/>
  <c r="J19" i="1" s="1" a="1"/>
  <c r="J19" i="1" s="1"/>
  <c r="I18" i="1" a="1"/>
  <c r="I18" i="1" s="1"/>
  <c r="J18" i="1" s="1" a="1"/>
  <c r="J18" i="1" s="1"/>
  <c r="I17" i="1" a="1"/>
  <c r="I17" i="1" s="1"/>
  <c r="J17" i="1" s="1" a="1"/>
  <c r="J17" i="1" s="1"/>
  <c r="I16" i="1" a="1"/>
  <c r="I16" i="1" s="1"/>
  <c r="J16" i="1" s="1" a="1"/>
  <c r="J16" i="1" s="1"/>
  <c r="I15" i="1" a="1"/>
  <c r="I15" i="1" s="1"/>
  <c r="J15" i="1" s="1" a="1"/>
  <c r="J15" i="1" s="1"/>
  <c r="I14" i="1" a="1"/>
  <c r="I14" i="1" s="1"/>
  <c r="J14" i="1" s="1" a="1"/>
  <c r="J14" i="1" s="1"/>
  <c r="I13" i="1" a="1"/>
  <c r="I13" i="1" s="1"/>
  <c r="J13" i="1" s="1" a="1"/>
  <c r="J13" i="1" s="1"/>
  <c r="I12" i="1" a="1"/>
  <c r="I12" i="1" s="1"/>
  <c r="J12" i="1" s="1" a="1"/>
  <c r="J12" i="1" s="1"/>
  <c r="I11" i="1" a="1"/>
  <c r="I11" i="1" s="1"/>
  <c r="J11" i="1" s="1" a="1"/>
  <c r="J11" i="1" s="1"/>
  <c r="I10" i="1" a="1"/>
  <c r="I10" i="1" s="1"/>
  <c r="J10" i="1" s="1" a="1"/>
  <c r="J10" i="1" s="1"/>
  <c r="I9" i="1" a="1"/>
  <c r="I9" i="1" s="1"/>
  <c r="J9" i="1" s="1" a="1"/>
  <c r="J9" i="1" s="1"/>
  <c r="I8" i="1" a="1"/>
  <c r="I8" i="1" s="1"/>
  <c r="J8" i="1" s="1" a="1"/>
  <c r="J8" i="1" s="1"/>
  <c r="I7" i="1" a="1"/>
  <c r="I7" i="1" s="1"/>
  <c r="J7" i="1" s="1" a="1"/>
  <c r="J7" i="1" s="1"/>
  <c r="I6" i="1" a="1"/>
  <c r="I6" i="1" s="1"/>
  <c r="J6" i="1" s="1" a="1"/>
  <c r="J6" i="1" s="1"/>
  <c r="I5" i="1" a="1"/>
  <c r="I5" i="1" s="1"/>
  <c r="J5" i="1" s="1" a="1"/>
  <c r="J5" i="1" s="1"/>
  <c r="I4" i="1" a="1"/>
  <c r="I4" i="1" s="1"/>
  <c r="J4" i="1" s="1" a="1"/>
  <c r="J4" i="1" s="1"/>
  <c r="I3" i="1" a="1"/>
  <c r="I3" i="1" s="1"/>
  <c r="J3" i="1" s="1" a="1"/>
  <c r="J3" i="1" s="1"/>
  <c r="I2" i="1" a="1"/>
  <c r="I2" i="1" s="1"/>
  <c r="J2" i="1" s="1" a="1"/>
  <c r="J2" i="1" s="1"/>
  <c r="L34" i="1" l="1"/>
  <c r="L37" i="1"/>
  <c r="L22" i="1"/>
  <c r="L18" i="1"/>
  <c r="L29" i="1"/>
  <c r="L25" i="1"/>
  <c r="C15" i="1"/>
  <c r="K15" i="1" a="1"/>
  <c r="K15" i="1" s="1"/>
  <c r="L15" i="1" l="1"/>
  <c r="C2" i="1"/>
  <c r="C3" i="1"/>
  <c r="F3" i="1"/>
  <c r="K2" i="1" a="1"/>
  <c r="K2" i="1" s="1"/>
  <c r="L2" i="1" l="1"/>
  <c r="G3" i="1"/>
  <c r="F4" i="1"/>
  <c r="C4" i="1"/>
  <c r="K3" i="1" a="1"/>
  <c r="K3" i="1" s="1"/>
  <c r="G4" i="1" l="1"/>
  <c r="L3" i="1"/>
  <c r="F5" i="1"/>
  <c r="C5" i="1"/>
  <c r="K4" i="1" a="1"/>
  <c r="K4" i="1" s="1"/>
  <c r="G5" i="1" l="1"/>
  <c r="L4" i="1"/>
  <c r="C6" i="1"/>
  <c r="F6" i="1"/>
  <c r="K5" i="1" a="1"/>
  <c r="K5" i="1" s="1"/>
  <c r="L5" i="1" l="1"/>
  <c r="G6" i="1"/>
  <c r="C7" i="1"/>
  <c r="F7" i="1"/>
  <c r="L6" i="1" l="1"/>
  <c r="G7" i="1"/>
  <c r="F8" i="1"/>
  <c r="K7" i="1" a="1"/>
  <c r="K7" i="1" s="1"/>
  <c r="C8" i="1"/>
  <c r="G8" i="1" l="1"/>
  <c r="L7" i="1"/>
  <c r="F9" i="1"/>
  <c r="C9" i="1"/>
  <c r="K8" i="1" a="1"/>
  <c r="K8" i="1" s="1"/>
  <c r="L8" i="1" l="1"/>
  <c r="G9" i="1"/>
  <c r="C10" i="1"/>
  <c r="F10" i="1"/>
  <c r="K9" i="1" a="1"/>
  <c r="K9" i="1" s="1"/>
  <c r="L9" i="1" l="1"/>
  <c r="G10" i="1"/>
  <c r="F11" i="1"/>
  <c r="C11" i="1"/>
  <c r="K10" i="1" a="1"/>
  <c r="K10" i="1" s="1"/>
  <c r="L10" i="1" l="1"/>
  <c r="G11" i="1"/>
  <c r="C12" i="1"/>
  <c r="F12" i="1"/>
  <c r="K11" i="1" a="1"/>
  <c r="K11" i="1" s="1"/>
  <c r="G12" i="1" l="1"/>
  <c r="L11" i="1"/>
  <c r="F13" i="1"/>
  <c r="K12" i="1" a="1"/>
  <c r="K12" i="1" s="1"/>
  <c r="C13" i="1"/>
  <c r="G13" i="1" l="1"/>
  <c r="L12" i="1"/>
  <c r="K14" i="1" a="1"/>
  <c r="K14" i="1" s="1"/>
  <c r="C14" i="1"/>
  <c r="F14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K13" i="1" a="1"/>
  <c r="K13" i="1" s="1"/>
  <c r="L14" i="1" l="1"/>
  <c r="G15" i="1"/>
  <c r="G16" i="1" s="1"/>
  <c r="G17" i="1" s="1"/>
  <c r="G18" i="1" s="1"/>
  <c r="G14" i="1"/>
  <c r="L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<sst xmlns="http://schemas.openxmlformats.org/spreadsheetml/2006/main" count="2285" uniqueCount="1767">
  <si>
    <t>Season</t>
  </si>
  <si>
    <t>Winning_Team</t>
  </si>
  <si>
    <t>Set_Decider</t>
  </si>
  <si>
    <t>Set_Winner</t>
  </si>
  <si>
    <t>Matchup</t>
  </si>
  <si>
    <t>Game_Num_Lifetime</t>
  </si>
  <si>
    <t>Game_Num_Season</t>
  </si>
  <si>
    <t>Game_Num_Nite</t>
  </si>
  <si>
    <t>Timestamp</t>
  </si>
  <si>
    <t>Map</t>
  </si>
  <si>
    <t>BrundonDru_Team</t>
  </si>
  <si>
    <t>BrundonDru_Score</t>
  </si>
  <si>
    <t>BrundonDru_Kills</t>
  </si>
  <si>
    <t>BrundonDru_Deaths</t>
  </si>
  <si>
    <t>BrundonDru_Assists</t>
  </si>
  <si>
    <t>BrundonDru_Betrayals</t>
  </si>
  <si>
    <t>BrundonDru_Suicides</t>
  </si>
  <si>
    <t>BrundonDru_WeaponKills</t>
  </si>
  <si>
    <t>BrundonDru_GrenadeKills</t>
  </si>
  <si>
    <t>BrundonDru_MeleeKills</t>
  </si>
  <si>
    <t>BrundonDru_OtherKills</t>
  </si>
  <si>
    <t>BrundonDru_SecondsAlive</t>
  </si>
  <si>
    <t>BrundonDru_SecondsPlayed</t>
  </si>
  <si>
    <t>BrundonDru_Standing</t>
  </si>
  <si>
    <t>BrundonDru_TotalMedalCount</t>
  </si>
  <si>
    <t>BrundonDru_MostKillsInARow</t>
  </si>
  <si>
    <t>BrundonDru_KilledMostPlayer</t>
  </si>
  <si>
    <t>BrundonDru_KilledMostPlayerCount</t>
  </si>
  <si>
    <t>BrundonDru_MostKilledByPlayer</t>
  </si>
  <si>
    <t>BrundonDru_MostKilledByPlayerCount</t>
  </si>
  <si>
    <t>BrundonDru_MostUsedWeapon</t>
  </si>
  <si>
    <t>BrundonDru_MostUsedWeaponCount</t>
  </si>
  <si>
    <t>BrundonDru_OddballTime</t>
  </si>
  <si>
    <t>BrundonDru_HillTime</t>
  </si>
  <si>
    <t>BrundonDru_CamoKills</t>
  </si>
  <si>
    <t>BrundonDru_GrenadeSticks</t>
  </si>
  <si>
    <t>BrundonDru_FlagScores</t>
  </si>
  <si>
    <t>BrundonDru_FlagGrabs</t>
  </si>
  <si>
    <t>BrundonDru_BombScores</t>
  </si>
  <si>
    <t>BrundonDru_BombGrabs</t>
  </si>
  <si>
    <t>BrundonDru_KDR</t>
  </si>
  <si>
    <t>BrundonDru_Medal_0</t>
  </si>
  <si>
    <t>BrundonDru_Medal_1</t>
  </si>
  <si>
    <t>BrundonDru_Medal_2</t>
  </si>
  <si>
    <t>BrundonDru_Medal_3</t>
  </si>
  <si>
    <t>BrundonDru_Medal_4</t>
  </si>
  <si>
    <t>BrundonDru_Medal_5</t>
  </si>
  <si>
    <t>BrundonDru_Medal_6</t>
  </si>
  <si>
    <t>BrundonDru_Medal_7</t>
  </si>
  <si>
    <t>BrundonDru_Assist</t>
  </si>
  <si>
    <t>BrundonDru_Avenger</t>
  </si>
  <si>
    <t>BrundonDru_Medal_10</t>
  </si>
  <si>
    <t>BrundonDru_Medal_11</t>
  </si>
  <si>
    <t>BrundonDru_Medal_12</t>
  </si>
  <si>
    <t>BrundonDru_Medal_13</t>
  </si>
  <si>
    <t>BrundonDru_Medal_14</t>
  </si>
  <si>
    <t>BrundonDru_Medal_15</t>
  </si>
  <si>
    <t>BrundonDru_Medal_16</t>
  </si>
  <si>
    <t>BrundonDru_Medal_17</t>
  </si>
  <si>
    <t>BrundonDru_Medal_18</t>
  </si>
  <si>
    <t>BrundonDru_Medal_19</t>
  </si>
  <si>
    <t>BrundonDru_Medal_20</t>
  </si>
  <si>
    <t>BrundonDru_Medal_21</t>
  </si>
  <si>
    <t>BrundonDru_Medal_22</t>
  </si>
  <si>
    <t>BrundonDru_Medal_23</t>
  </si>
  <si>
    <t>BrundonDru_Medal_24</t>
  </si>
  <si>
    <t>BrundonDru_Medal_25</t>
  </si>
  <si>
    <t>BrundonDru_Medal_26</t>
  </si>
  <si>
    <t>BrundonDru_Medal_27</t>
  </si>
  <si>
    <t>BrundonDru_Medal_28</t>
  </si>
  <si>
    <t>BrundonDru_Medal_29</t>
  </si>
  <si>
    <t>BrundonDru_Medal_30</t>
  </si>
  <si>
    <t>BrundonDru_Medal_31</t>
  </si>
  <si>
    <t>BrundonDru_Medal_32</t>
  </si>
  <si>
    <t>BrundonDru_Medal_33</t>
  </si>
  <si>
    <t>BrundonDru_Medal_34</t>
  </si>
  <si>
    <t>BrundonDru_Medal_35</t>
  </si>
  <si>
    <t>BrundonDru_Medal_36</t>
  </si>
  <si>
    <t>BrundonDru_Medal_37</t>
  </si>
  <si>
    <t>BrundonDru_Medal_38</t>
  </si>
  <si>
    <t>BrundonDru_Medal_39</t>
  </si>
  <si>
    <t>BrundonDru_Medal_40</t>
  </si>
  <si>
    <t>BrundonDru_Medal_41</t>
  </si>
  <si>
    <t>BrundonDru_Medal_42</t>
  </si>
  <si>
    <t>BrundonDru_Medal_43</t>
  </si>
  <si>
    <t>BrundonDru_Medal_44</t>
  </si>
  <si>
    <t>BrundonDru_Medal_45</t>
  </si>
  <si>
    <t>BrundonDru_Medal_46</t>
  </si>
  <si>
    <t>BrundonDru_Medal_47</t>
  </si>
  <si>
    <t>BrundonDru_Medal_48</t>
  </si>
  <si>
    <t>BrundonDru_Medal_49</t>
  </si>
  <si>
    <t>BrundonDru_Medal_50</t>
  </si>
  <si>
    <t>BrundonDru_Medal_51</t>
  </si>
  <si>
    <t>BrundonDru_Medal_52</t>
  </si>
  <si>
    <t>BrundonDru_Medal_53</t>
  </si>
  <si>
    <t>BrundonDru_Close Call</t>
  </si>
  <si>
    <t>BrundonDru_Comeback Kill</t>
  </si>
  <si>
    <t>BrundonDru_Medal_56</t>
  </si>
  <si>
    <t>BrundonDru_Medal_57</t>
  </si>
  <si>
    <t>BrundonDru_Medal_58</t>
  </si>
  <si>
    <t>BrundonDru_Medal_59</t>
  </si>
  <si>
    <t>BrundonDru_Medal_60</t>
  </si>
  <si>
    <t>BrundonDru_Medal_61</t>
  </si>
  <si>
    <t>BrundonDru_Double Kill</t>
  </si>
  <si>
    <t>BrundonDru_Medal_63</t>
  </si>
  <si>
    <t>BrundonDru_Medal_64</t>
  </si>
  <si>
    <t>BrundonDru_Medal_65</t>
  </si>
  <si>
    <t>BrundonDru_Medal_66</t>
  </si>
  <si>
    <t>BrundonDru_Medal_67</t>
  </si>
  <si>
    <t>BrundonDru_Medal_68</t>
  </si>
  <si>
    <t>BrundonDru_Medal_69</t>
  </si>
  <si>
    <t>BrundonDru_Medal_70</t>
  </si>
  <si>
    <t>BrundonDru_Medal_71</t>
  </si>
  <si>
    <t>BrundonDru_Medal_72</t>
  </si>
  <si>
    <t>BrundonDru_Medal_73</t>
  </si>
  <si>
    <t>BrundonDru_First Strike</t>
  </si>
  <si>
    <t>BrundonDru_Medal_75</t>
  </si>
  <si>
    <t>BrundonDru_Medal_76</t>
  </si>
  <si>
    <t>BrundonDru_Medal_77</t>
  </si>
  <si>
    <t>BrundonDru_Medal_78</t>
  </si>
  <si>
    <t>BrundonDru_Medal_79</t>
  </si>
  <si>
    <t>BrundonDru_Medal_80</t>
  </si>
  <si>
    <t>BrundonDru_Medal_81</t>
  </si>
  <si>
    <t>BrundonDru_Medal_82</t>
  </si>
  <si>
    <t>BrundonDru_Medal_83</t>
  </si>
  <si>
    <t>BrundonDru_Medal_84</t>
  </si>
  <si>
    <t>BrundonDru_Medal_85</t>
  </si>
  <si>
    <t>BrundonDru_Medal_86</t>
  </si>
  <si>
    <t>BrundonDru_Medal_87</t>
  </si>
  <si>
    <t>BrundonDru_Medal_88</t>
  </si>
  <si>
    <t>BrundonDru_Medal_89</t>
  </si>
  <si>
    <t>BrundonDru_Medal_90</t>
  </si>
  <si>
    <t>BrundonDru_Medal_91</t>
  </si>
  <si>
    <t>BrundonDru_Medal_92</t>
  </si>
  <si>
    <t>BrundonDru_Medal_93</t>
  </si>
  <si>
    <t>BrundonDru_Medal_94</t>
  </si>
  <si>
    <t>BrundonDru_Medal_95</t>
  </si>
  <si>
    <t>BrundonDru_Medal_96</t>
  </si>
  <si>
    <t>BrundonDru_Medal_97</t>
  </si>
  <si>
    <t>BrundonDru_Medal_98</t>
  </si>
  <si>
    <t>BrundonDru_Medal_99</t>
  </si>
  <si>
    <t>BrundonDru_Medal_100</t>
  </si>
  <si>
    <t>BrundonDru_Medal_101</t>
  </si>
  <si>
    <t>BrundonDru_Medal_102</t>
  </si>
  <si>
    <t>BrundonDru_Medal_103</t>
  </si>
  <si>
    <t>BrundonDru_Grenade Kill</t>
  </si>
  <si>
    <t>BrundonDru_Medal_105</t>
  </si>
  <si>
    <t>BrundonDru_Medal_106</t>
  </si>
  <si>
    <t>BrundonDru_Medal_107</t>
  </si>
  <si>
    <t>BrundonDru_Medal_108</t>
  </si>
  <si>
    <t>BrundonDru_Medal_109</t>
  </si>
  <si>
    <t>BrundonDru_Medal_110</t>
  </si>
  <si>
    <t>BrundonDru_Headshot</t>
  </si>
  <si>
    <t>BrundonDru_Medal_112</t>
  </si>
  <si>
    <t>BrundonDru_Medal_113</t>
  </si>
  <si>
    <t>BrundonDru_Medal_114</t>
  </si>
  <si>
    <t>BrundonDru_Medal_115</t>
  </si>
  <si>
    <t>BrundonDru_Medal_116</t>
  </si>
  <si>
    <t>BrundonDru_Medal_117</t>
  </si>
  <si>
    <t>BrundonDru_Medal_118</t>
  </si>
  <si>
    <t>BrundonDru_Medal_119</t>
  </si>
  <si>
    <t>BrundonDru_Medal_120</t>
  </si>
  <si>
    <t>BrundonDru_Medal_121</t>
  </si>
  <si>
    <t>BrundonDru_Medal_122</t>
  </si>
  <si>
    <t>BrundonDru_Medal_123</t>
  </si>
  <si>
    <t>BrundonDru_Medal_124</t>
  </si>
  <si>
    <t>BrundonDru_Medal_125</t>
  </si>
  <si>
    <t>BrundonDru_Medal_126</t>
  </si>
  <si>
    <t>BrundonDru_Medal_127</t>
  </si>
  <si>
    <t>BrundonDru_Medal_128</t>
  </si>
  <si>
    <t>BrundonDru_Kill</t>
  </si>
  <si>
    <t>BrundonDru_Kill from the Grave</t>
  </si>
  <si>
    <t>BrundonDru_Medal_131</t>
  </si>
  <si>
    <t>BrundonDru_Medal_132</t>
  </si>
  <si>
    <t>BrundonDru_Medal_133</t>
  </si>
  <si>
    <t>BrundonDru_Medal_134</t>
  </si>
  <si>
    <t>BrundonDru_Killing Frenzy</t>
  </si>
  <si>
    <t>BrundonDru_Killing Spree</t>
  </si>
  <si>
    <t>BrundonDru_Medal_137</t>
  </si>
  <si>
    <t>BrundonDru_Killjoy</t>
  </si>
  <si>
    <t>BrundonDru_Medal_139</t>
  </si>
  <si>
    <t>BrundonDru_Medal_140</t>
  </si>
  <si>
    <t>BrundonDru_Medal_141</t>
  </si>
  <si>
    <t>BrundonDru_Medal_142</t>
  </si>
  <si>
    <t>BrundonDru_Medal_143</t>
  </si>
  <si>
    <t>BrundonDru_Medal_144</t>
  </si>
  <si>
    <t>BrundonDru_Medal_145</t>
  </si>
  <si>
    <t>BrundonDru_Medal_146</t>
  </si>
  <si>
    <t>BrundonDru_Medal_147</t>
  </si>
  <si>
    <t>BrundonDru_Medal_148</t>
  </si>
  <si>
    <t>BrundonDru_Medal_149</t>
  </si>
  <si>
    <t>BrundonDru_Medal_150</t>
  </si>
  <si>
    <t>BrundonDru_Last Strike</t>
  </si>
  <si>
    <t>BrundonDru_Medal_152</t>
  </si>
  <si>
    <t>BrundonDru_Medal_153</t>
  </si>
  <si>
    <t>BrundonDru_Medal_154</t>
  </si>
  <si>
    <t>BrundonDru_Medal_155</t>
  </si>
  <si>
    <t>BrundonDru_Melee Kill</t>
  </si>
  <si>
    <t>BrundonDru_Medal_157</t>
  </si>
  <si>
    <t>BrundonDru_Medal_158</t>
  </si>
  <si>
    <t>BrundonDru_Medal_159</t>
  </si>
  <si>
    <t>BrundonDru_Medal_160</t>
  </si>
  <si>
    <t>BrundonDru_Medal_161</t>
  </si>
  <si>
    <t>BrundonDru_Medal_162</t>
  </si>
  <si>
    <t>BrundonDru_Medal_163</t>
  </si>
  <si>
    <t>BrundonDru_Medal_164</t>
  </si>
  <si>
    <t>BrundonDru_Medal_165</t>
  </si>
  <si>
    <t>BrundonDru_Medal_166</t>
  </si>
  <si>
    <t>BrundonDru_Medal_167</t>
  </si>
  <si>
    <t>BrundonDru_Medal_168</t>
  </si>
  <si>
    <t>BrundonDru_Medal_169</t>
  </si>
  <si>
    <t>BrundonDru_Medal_170</t>
  </si>
  <si>
    <t>BrundonDru_Protector</t>
  </si>
  <si>
    <t>BrundonDru_Medal_172</t>
  </si>
  <si>
    <t>BrundonDru_Medal_173</t>
  </si>
  <si>
    <t>BrundonDru_Medal_174</t>
  </si>
  <si>
    <t>BrundonDru_Medal_175</t>
  </si>
  <si>
    <t>BrundonDru_Medal_176</t>
  </si>
  <si>
    <t>BrundonDru_Medal_177</t>
  </si>
  <si>
    <t>BrundonDru_Medal_178</t>
  </si>
  <si>
    <t>BrundonDru_Medal_179</t>
  </si>
  <si>
    <t>BrundonDru_Reload This</t>
  </si>
  <si>
    <t>BrundonDru_Medal_181</t>
  </si>
  <si>
    <t>BrundonDru_Medal_182</t>
  </si>
  <si>
    <t>BrundonDru_Medal_183</t>
  </si>
  <si>
    <t>BrundonDru_Revenge</t>
  </si>
  <si>
    <t>BrundonDru_Medal_185</t>
  </si>
  <si>
    <t>BrundonDru_Medal_186</t>
  </si>
  <si>
    <t>BrundonDru_Rocket Kill</t>
  </si>
  <si>
    <t>BrundonDru_Medal_188</t>
  </si>
  <si>
    <t>BrundonDru_Medal_189</t>
  </si>
  <si>
    <t>BrundonDru_Medal_190</t>
  </si>
  <si>
    <t>BrundonDru_Medal_191</t>
  </si>
  <si>
    <t>BrundonDru_Medal_192</t>
  </si>
  <si>
    <t>BrundonDru_Medal_193</t>
  </si>
  <si>
    <t>BrundonDru_Medal_194</t>
  </si>
  <si>
    <t>BrundonDru_Medal_195</t>
  </si>
  <si>
    <t>BrundonDru_Sentinel Beam Kill</t>
  </si>
  <si>
    <t>BrundonDru_Medal_197</t>
  </si>
  <si>
    <t>BrundonDru_Medal_198</t>
  </si>
  <si>
    <t>BrundonDru_Medal_199</t>
  </si>
  <si>
    <t>BrundonDru_Medal_200</t>
  </si>
  <si>
    <t>BrundonDru_Medal_201</t>
  </si>
  <si>
    <t>BrundonDru_Medal_202</t>
  </si>
  <si>
    <t>BrundonDru_Medal_203</t>
  </si>
  <si>
    <t>BrundonDru_Medal_204</t>
  </si>
  <si>
    <t>BrundonDru_Medal_205</t>
  </si>
  <si>
    <t>BrundonDru_Medal_206</t>
  </si>
  <si>
    <t>BrundonDru_Medal_207</t>
  </si>
  <si>
    <t>BrundonDru_Snapshot</t>
  </si>
  <si>
    <t>BrundonDru_Medal_209</t>
  </si>
  <si>
    <t>BrundonDru_Sniper Spree</t>
  </si>
  <si>
    <t>BrundonDru_Medal_211</t>
  </si>
  <si>
    <t>BrundonDru_Medal_212</t>
  </si>
  <si>
    <t>BrundonDru_Medal_213</t>
  </si>
  <si>
    <t>BrundonDru_Medal_214</t>
  </si>
  <si>
    <t>BrundonDru_Medal_215</t>
  </si>
  <si>
    <t>BrundonDru_Medal_216</t>
  </si>
  <si>
    <t>BrundonDru_Medal_217</t>
  </si>
  <si>
    <t>BrundonDru_Medal_218</t>
  </si>
  <si>
    <t>BrundonDru_Medal_219</t>
  </si>
  <si>
    <t>BrundonDru_Medal_220</t>
  </si>
  <si>
    <t>BrundonDru_Medal_221</t>
  </si>
  <si>
    <t>BrundonDru_Medal_222</t>
  </si>
  <si>
    <t>BrundonDru_Triple Double</t>
  </si>
  <si>
    <t>BrundonDru_Medal_224</t>
  </si>
  <si>
    <t>BrundonDru_Medal_225</t>
  </si>
  <si>
    <t>BrundonDru_Medal_226</t>
  </si>
  <si>
    <t>BrundonDru_Medal_227</t>
  </si>
  <si>
    <t>BrundonDru_Medal_228</t>
  </si>
  <si>
    <t>BrundonDru_Medal_229</t>
  </si>
  <si>
    <t>BrundonDru_Medal_230</t>
  </si>
  <si>
    <t>BrundonDru_Medal_231</t>
  </si>
  <si>
    <t>BrundonDru_Medal_232</t>
  </si>
  <si>
    <t>BrundonDru_Medal_233</t>
  </si>
  <si>
    <t>BrundonDru_Medal_234</t>
  </si>
  <si>
    <t>BrundonDru_Medal_235</t>
  </si>
  <si>
    <t>BrundonDru_Medal_236</t>
  </si>
  <si>
    <t>BrundonDru_Medal_237</t>
  </si>
  <si>
    <t>BrundonDru_Medal_238</t>
  </si>
  <si>
    <t>BrundonDru_Medal_239</t>
  </si>
  <si>
    <t>BrundonDru_Medal_240</t>
  </si>
  <si>
    <t>BrundonDru_Medal_241</t>
  </si>
  <si>
    <t>BrundonDru_Medal_242</t>
  </si>
  <si>
    <t>BrundonDru_Medal_243</t>
  </si>
  <si>
    <t>BrundonDru_Medal_244</t>
  </si>
  <si>
    <t>BrundonDru_Medal_245</t>
  </si>
  <si>
    <t>BrundonDru_Medal_246</t>
  </si>
  <si>
    <t>BrundonDru_Medal_247</t>
  </si>
  <si>
    <t>BrundonDru_Medal_248</t>
  </si>
  <si>
    <t>BrundonDru_Medal_249</t>
  </si>
  <si>
    <t>BrundonDru_Medal_250</t>
  </si>
  <si>
    <t>BrundonDru_Medal_251</t>
  </si>
  <si>
    <t>BrundonDru_Medal_252</t>
  </si>
  <si>
    <t>BrundonDru_Medal_253</t>
  </si>
  <si>
    <t>BrundonDru_Medal_254</t>
  </si>
  <si>
    <t>BrundonDru_Medal_255</t>
  </si>
  <si>
    <t>BrundonDru_Medal_256</t>
  </si>
  <si>
    <t>BrundonDru_Medal_257</t>
  </si>
  <si>
    <t>BrundonDru_Medal_258</t>
  </si>
  <si>
    <t>BrundonDru_Medal_259</t>
  </si>
  <si>
    <t>BrundonDru_Medal_260</t>
  </si>
  <si>
    <t>BrundonDru_Medal_261</t>
  </si>
  <si>
    <t>BrundonDru_Medal_262</t>
  </si>
  <si>
    <t>BrundonDru_Medal_263</t>
  </si>
  <si>
    <t>BrundonDru_Medal_264</t>
  </si>
  <si>
    <t>BrundonDru_Medal_265</t>
  </si>
  <si>
    <t>BrundonDru_Sniper Kill</t>
  </si>
  <si>
    <t>BrundonDru_Medal_267</t>
  </si>
  <si>
    <t>BrundonDru_Medal_268</t>
  </si>
  <si>
    <t>BrundonDru_Medal_269</t>
  </si>
  <si>
    <t>BrundonDru_Medal_270</t>
  </si>
  <si>
    <t>BrundonDru_Medal_271</t>
  </si>
  <si>
    <t>BrundonDru_Medal_272</t>
  </si>
  <si>
    <t>BrundonDru_Medal_273</t>
  </si>
  <si>
    <t>BrundonDru_Medal_274</t>
  </si>
  <si>
    <t>BrundonDru_Medal_275</t>
  </si>
  <si>
    <t>BrundonDru_Medal_276</t>
  </si>
  <si>
    <t>BrundonDru_Medal_277</t>
  </si>
  <si>
    <t>BrundonDru_Medal_278</t>
  </si>
  <si>
    <t>BrundonDru_Medal_279</t>
  </si>
  <si>
    <t>BrundonDru_Medal_280</t>
  </si>
  <si>
    <t>BrundonDru_Medal_281</t>
  </si>
  <si>
    <t>BrundonDru_Medal_282</t>
  </si>
  <si>
    <t>BrundonDru_Medal_283</t>
  </si>
  <si>
    <t>BrundonDru_Medal_284</t>
  </si>
  <si>
    <t>BrundonDru_Medal_285</t>
  </si>
  <si>
    <t>BrundonDru_Medal_286</t>
  </si>
  <si>
    <t>BrundonDru_Medal_287</t>
  </si>
  <si>
    <t>BrundonDru_Medal_288</t>
  </si>
  <si>
    <t>BrundonDru_Medal_289</t>
  </si>
  <si>
    <t>BrundonDru_Medal_290</t>
  </si>
  <si>
    <t>BrundonDru_Medal_291</t>
  </si>
  <si>
    <t>BrundonDru_Medal_292</t>
  </si>
  <si>
    <t>BrundonDru_Medal_293</t>
  </si>
  <si>
    <t>BrundonDru_Medal_294</t>
  </si>
  <si>
    <t>BrundonDru_Medal_295</t>
  </si>
  <si>
    <t>BrundonDru_Medal_296</t>
  </si>
  <si>
    <t>BrundonDru_Medal_297</t>
  </si>
  <si>
    <t>BrundonDru_Medal_298</t>
  </si>
  <si>
    <t>BrundonDru_Medal_299</t>
  </si>
  <si>
    <t>BrundonDru_Medal_300</t>
  </si>
  <si>
    <t>BrundonDru_Medal_301</t>
  </si>
  <si>
    <t>BrundonDru_Medal_302</t>
  </si>
  <si>
    <t>BrundonDru_Medal_303</t>
  </si>
  <si>
    <t>BrundonDru_Medal_304</t>
  </si>
  <si>
    <t>BrundonDru_Medal_305</t>
  </si>
  <si>
    <t>BrundonDru_Medal_306</t>
  </si>
  <si>
    <t>BrundonDru_Medal_307</t>
  </si>
  <si>
    <t>BrundonDru_Medal_308</t>
  </si>
  <si>
    <t>BrundonDru_Medal_309</t>
  </si>
  <si>
    <t>BrundonDru_Medal_310</t>
  </si>
  <si>
    <t>BrundonDru_Medal_311</t>
  </si>
  <si>
    <t>BrundonDru_Medal_312</t>
  </si>
  <si>
    <t>BrundonDru_Medal_313</t>
  </si>
  <si>
    <t>BrundonDru_Medal_314</t>
  </si>
  <si>
    <t>BrundonDru_Medal_315</t>
  </si>
  <si>
    <t>BrundonDru_Medal_316</t>
  </si>
  <si>
    <t>BrundonDru_Medal_317</t>
  </si>
  <si>
    <t>BrundonDru_Medal_318</t>
  </si>
  <si>
    <t>BrundonDru_Medal_319</t>
  </si>
  <si>
    <t>BrundonDru_Medal_320</t>
  </si>
  <si>
    <t>BrundonDru_Medal_321</t>
  </si>
  <si>
    <t>BrundonDru_Medal_322</t>
  </si>
  <si>
    <t>BrundonDru_Medal_323</t>
  </si>
  <si>
    <t>BrundonDru_Medal_324</t>
  </si>
  <si>
    <t>BrundonDru_Medal_325</t>
  </si>
  <si>
    <t>BrundonDru_Medal_326</t>
  </si>
  <si>
    <t>BrundonDru_Medal_327</t>
  </si>
  <si>
    <t>BrundonDru_Medal_328</t>
  </si>
  <si>
    <t>BrundonDru_Medal_329</t>
  </si>
  <si>
    <t>BrundonDru_Medal_330</t>
  </si>
  <si>
    <t>BrundonDru_Medal_331</t>
  </si>
  <si>
    <t>BrundonDru_Medal_332</t>
  </si>
  <si>
    <t>BrundonDru_Medal_333</t>
  </si>
  <si>
    <t>BrundonDru_Medal_334</t>
  </si>
  <si>
    <t>BrundonDru_Medal_335</t>
  </si>
  <si>
    <t>BrundonDru_Medal_336</t>
  </si>
  <si>
    <t>BrundonDru_Medal_337</t>
  </si>
  <si>
    <t>BrundonDru_Medal_338</t>
  </si>
  <si>
    <t>BrundonDru_Medal_339</t>
  </si>
  <si>
    <t>BrundonDru_Medal_340</t>
  </si>
  <si>
    <t>BrundonDru_Medal_341</t>
  </si>
  <si>
    <t>BrundonDru_Medal_342</t>
  </si>
  <si>
    <t>BrundonDru_Medal_343</t>
  </si>
  <si>
    <t>BrundonDru_Medal_344</t>
  </si>
  <si>
    <t>BrundonDru_Medal_345</t>
  </si>
  <si>
    <t>BrundonDru_Medal_346</t>
  </si>
  <si>
    <t>BrundonDru_Medal_347</t>
  </si>
  <si>
    <t>BrundonDru_Medal_348</t>
  </si>
  <si>
    <t>BrundonDru_Medal_349</t>
  </si>
  <si>
    <t>BrundonDru_Medal_350</t>
  </si>
  <si>
    <t>BrundonDru_Medal_351</t>
  </si>
  <si>
    <t>BrundonDru_Medal_352</t>
  </si>
  <si>
    <t>BrundonDru_Medal_353</t>
  </si>
  <si>
    <t>BrundonDru_Medal_354</t>
  </si>
  <si>
    <t>BrundonDru_Medal_355</t>
  </si>
  <si>
    <t>BrundonDru_Medal_356</t>
  </si>
  <si>
    <t>BrundonDru_Medal_357</t>
  </si>
  <si>
    <t>BrundonDru_Medal_358</t>
  </si>
  <si>
    <t>BrundonDru_Medal_359</t>
  </si>
  <si>
    <t>BrundonDru_Medal_360</t>
  </si>
  <si>
    <t>BrundonDru_Medal_361</t>
  </si>
  <si>
    <t>BrundonDru_Medal_362</t>
  </si>
  <si>
    <t>BrundonDru_Medal_363</t>
  </si>
  <si>
    <t>BrundonDru_Medal_364</t>
  </si>
  <si>
    <t>BrundonDru_Medal_365</t>
  </si>
  <si>
    <t>BrundonDru_Medal_366</t>
  </si>
  <si>
    <t>BrundonDru_Medal_367</t>
  </si>
  <si>
    <t>BrundonDru_Medal_368</t>
  </si>
  <si>
    <t>BrundonDru_Medal_369</t>
  </si>
  <si>
    <t>BrundonDru_Medal_370</t>
  </si>
  <si>
    <t>BrundonDru_Medal_371</t>
  </si>
  <si>
    <t>BrundonDru_Medal_372</t>
  </si>
  <si>
    <t>BrundonDru_Medal_373</t>
  </si>
  <si>
    <t>BrundonDru_Medal_374</t>
  </si>
  <si>
    <t>BrundonDru_Medal_375</t>
  </si>
  <si>
    <t>BrundonDru_Medal_376</t>
  </si>
  <si>
    <t>BrundonDru_Medal_377</t>
  </si>
  <si>
    <t>BrundonDru_Medal_378</t>
  </si>
  <si>
    <t>BrundonDru_Medal_379</t>
  </si>
  <si>
    <t>BrundonDru_Medal_380</t>
  </si>
  <si>
    <t>BrundonDru_Medal_381</t>
  </si>
  <si>
    <t>BrundonDru_Medal_382</t>
  </si>
  <si>
    <t>BrundonDru_Medal_383</t>
  </si>
  <si>
    <t>HDTurkie_Team</t>
  </si>
  <si>
    <t>HDTurkie_Score</t>
  </si>
  <si>
    <t>HDTurkie_Kills</t>
  </si>
  <si>
    <t>HDTurkie_Deaths</t>
  </si>
  <si>
    <t>HDTurkie_Assists</t>
  </si>
  <si>
    <t>HDTurkie_Betrayals</t>
  </si>
  <si>
    <t>HDTurkie_Suicides</t>
  </si>
  <si>
    <t>HDTurkie_WeaponKills</t>
  </si>
  <si>
    <t>HDTurkie_GrenadeKills</t>
  </si>
  <si>
    <t>HDTurkie_MeleeKills</t>
  </si>
  <si>
    <t>HDTurkie_OtherKills</t>
  </si>
  <si>
    <t>HDTurkie_SecondsAlive</t>
  </si>
  <si>
    <t>HDTurkie_SecondsPlayed</t>
  </si>
  <si>
    <t>HDTurkie_Standing</t>
  </si>
  <si>
    <t>HDTurkie_TotalMedalCount</t>
  </si>
  <si>
    <t>HDTurkie_MostKillsInARow</t>
  </si>
  <si>
    <t>HDTurkie_KilledMostPlayer</t>
  </si>
  <si>
    <t>HDTurkie_KilledMostPlayerCount</t>
  </si>
  <si>
    <t>HDTurkie_MostKilledByPlayer</t>
  </si>
  <si>
    <t>HDTurkie_MostKilledByPlayerCount</t>
  </si>
  <si>
    <t>HDTurkie_MostUsedWeapon</t>
  </si>
  <si>
    <t>HDTurkie_MostUsedWeaponCount</t>
  </si>
  <si>
    <t>HDTurkie_OddballTime</t>
  </si>
  <si>
    <t>HDTurkie_HillTime</t>
  </si>
  <si>
    <t>HDTurkie_CamoKills</t>
  </si>
  <si>
    <t>HDTurkie_GrenadeSticks</t>
  </si>
  <si>
    <t>HDTurkie_FlagScores</t>
  </si>
  <si>
    <t>HDTurkie_FlagGrabs</t>
  </si>
  <si>
    <t>HDTurkie_BombScores</t>
  </si>
  <si>
    <t>HDTurkie_BombGrabs</t>
  </si>
  <si>
    <t>HDTurkie_KDR</t>
  </si>
  <si>
    <t>HDTurkie_Medal_0</t>
  </si>
  <si>
    <t>HDTurkie_Medal_1</t>
  </si>
  <si>
    <t>HDTurkie_Medal_2</t>
  </si>
  <si>
    <t>HDTurkie_Medal_3</t>
  </si>
  <si>
    <t>HDTurkie_Medal_4</t>
  </si>
  <si>
    <t>HDTurkie_Medal_5</t>
  </si>
  <si>
    <t>HDTurkie_Medal_6</t>
  </si>
  <si>
    <t>HDTurkie_Medal_7</t>
  </si>
  <si>
    <t>HDTurkie_Assist</t>
  </si>
  <si>
    <t>HDTurkie_Avenger</t>
  </si>
  <si>
    <t>HDTurkie_Medal_10</t>
  </si>
  <si>
    <t>HDTurkie_Medal_11</t>
  </si>
  <si>
    <t>HDTurkie_Medal_12</t>
  </si>
  <si>
    <t>HDTurkie_Medal_13</t>
  </si>
  <si>
    <t>HDTurkie_Medal_14</t>
  </si>
  <si>
    <t>HDTurkie_Medal_15</t>
  </si>
  <si>
    <t>HDTurkie_Medal_16</t>
  </si>
  <si>
    <t>HDTurkie_Medal_17</t>
  </si>
  <si>
    <t>HDTurkie_Medal_18</t>
  </si>
  <si>
    <t>HDTurkie_Medal_19</t>
  </si>
  <si>
    <t>HDTurkie_Medal_20</t>
  </si>
  <si>
    <t>HDTurkie_Medal_21</t>
  </si>
  <si>
    <t>HDTurkie_Medal_22</t>
  </si>
  <si>
    <t>HDTurkie_Medal_23</t>
  </si>
  <si>
    <t>HDTurkie_Medal_24</t>
  </si>
  <si>
    <t>HDTurkie_Medal_25</t>
  </si>
  <si>
    <t>HDTurkie_Medal_26</t>
  </si>
  <si>
    <t>HDTurkie_Medal_27</t>
  </si>
  <si>
    <t>HDTurkie_Medal_28</t>
  </si>
  <si>
    <t>HDTurkie_Medal_29</t>
  </si>
  <si>
    <t>HDTurkie_Medal_30</t>
  </si>
  <si>
    <t>HDTurkie_Medal_31</t>
  </si>
  <si>
    <t>HDTurkie_Medal_32</t>
  </si>
  <si>
    <t>HDTurkie_Medal_33</t>
  </si>
  <si>
    <t>HDTurkie_Medal_34</t>
  </si>
  <si>
    <t>HDTurkie_Medal_35</t>
  </si>
  <si>
    <t>HDTurkie_Medal_36</t>
  </si>
  <si>
    <t>HDTurkie_Medal_37</t>
  </si>
  <si>
    <t>HDTurkie_Medal_38</t>
  </si>
  <si>
    <t>HDTurkie_Medal_39</t>
  </si>
  <si>
    <t>HDTurkie_Medal_40</t>
  </si>
  <si>
    <t>HDTurkie_Medal_41</t>
  </si>
  <si>
    <t>HDTurkie_Medal_42</t>
  </si>
  <si>
    <t>HDTurkie_Medal_43</t>
  </si>
  <si>
    <t>HDTurkie_Medal_44</t>
  </si>
  <si>
    <t>HDTurkie_Medal_45</t>
  </si>
  <si>
    <t>HDTurkie_Medal_46</t>
  </si>
  <si>
    <t>HDTurkie_Medal_47</t>
  </si>
  <si>
    <t>HDTurkie_Medal_48</t>
  </si>
  <si>
    <t>HDTurkie_Medal_49</t>
  </si>
  <si>
    <t>HDTurkie_Medal_50</t>
  </si>
  <si>
    <t>HDTurkie_Medal_51</t>
  </si>
  <si>
    <t>HDTurkie_Medal_52</t>
  </si>
  <si>
    <t>HDTurkie_Medal_53</t>
  </si>
  <si>
    <t>HDTurkie_Close Call</t>
  </si>
  <si>
    <t>HDTurkie_Comeback Kill</t>
  </si>
  <si>
    <t>HDTurkie_Medal_56</t>
  </si>
  <si>
    <t>HDTurkie_Medal_57</t>
  </si>
  <si>
    <t>HDTurkie_Medal_58</t>
  </si>
  <si>
    <t>HDTurkie_Medal_59</t>
  </si>
  <si>
    <t>HDTurkie_Medal_60</t>
  </si>
  <si>
    <t>HDTurkie_Medal_61</t>
  </si>
  <si>
    <t>HDTurkie_Double Kill</t>
  </si>
  <si>
    <t>HDTurkie_Medal_63</t>
  </si>
  <si>
    <t>HDTurkie_Medal_64</t>
  </si>
  <si>
    <t>HDTurkie_Medal_65</t>
  </si>
  <si>
    <t>HDTurkie_Medal_66</t>
  </si>
  <si>
    <t>HDTurkie_Medal_67</t>
  </si>
  <si>
    <t>HDTurkie_Medal_68</t>
  </si>
  <si>
    <t>HDTurkie_Medal_69</t>
  </si>
  <si>
    <t>HDTurkie_Medal_70</t>
  </si>
  <si>
    <t>HDTurkie_Medal_71</t>
  </si>
  <si>
    <t>HDTurkie_Medal_72</t>
  </si>
  <si>
    <t>HDTurkie_Medal_73</t>
  </si>
  <si>
    <t>HDTurkie_First Strike</t>
  </si>
  <si>
    <t>HDTurkie_Medal_75</t>
  </si>
  <si>
    <t>HDTurkie_Medal_76</t>
  </si>
  <si>
    <t>HDTurkie_Medal_77</t>
  </si>
  <si>
    <t>HDTurkie_Medal_78</t>
  </si>
  <si>
    <t>HDTurkie_Medal_79</t>
  </si>
  <si>
    <t>HDTurkie_Medal_80</t>
  </si>
  <si>
    <t>HDTurkie_Medal_81</t>
  </si>
  <si>
    <t>HDTurkie_Medal_82</t>
  </si>
  <si>
    <t>HDTurkie_Medal_83</t>
  </si>
  <si>
    <t>HDTurkie_Medal_84</t>
  </si>
  <si>
    <t>HDTurkie_Medal_85</t>
  </si>
  <si>
    <t>HDTurkie_Medal_86</t>
  </si>
  <si>
    <t>HDTurkie_Medal_87</t>
  </si>
  <si>
    <t>HDTurkie_Medal_88</t>
  </si>
  <si>
    <t>HDTurkie_Medal_89</t>
  </si>
  <si>
    <t>HDTurkie_Medal_90</t>
  </si>
  <si>
    <t>HDTurkie_Medal_91</t>
  </si>
  <si>
    <t>HDTurkie_Medal_92</t>
  </si>
  <si>
    <t>HDTurkie_Medal_93</t>
  </si>
  <si>
    <t>HDTurkie_Medal_94</t>
  </si>
  <si>
    <t>HDTurkie_Medal_95</t>
  </si>
  <si>
    <t>HDTurkie_Medal_96</t>
  </si>
  <si>
    <t>HDTurkie_Medal_97</t>
  </si>
  <si>
    <t>HDTurkie_Medal_98</t>
  </si>
  <si>
    <t>HDTurkie_Medal_99</t>
  </si>
  <si>
    <t>HDTurkie_Medal_100</t>
  </si>
  <si>
    <t>HDTurkie_Medal_101</t>
  </si>
  <si>
    <t>HDTurkie_Medal_102</t>
  </si>
  <si>
    <t>HDTurkie_Medal_103</t>
  </si>
  <si>
    <t>HDTurkie_Grenade Kill</t>
  </si>
  <si>
    <t>HDTurkie_Medal_105</t>
  </si>
  <si>
    <t>HDTurkie_Medal_106</t>
  </si>
  <si>
    <t>HDTurkie_Medal_107</t>
  </si>
  <si>
    <t>HDTurkie_Medal_108</t>
  </si>
  <si>
    <t>HDTurkie_Medal_109</t>
  </si>
  <si>
    <t>HDTurkie_Medal_110</t>
  </si>
  <si>
    <t>HDTurkie_Headshot</t>
  </si>
  <si>
    <t>HDTurkie_Medal_112</t>
  </si>
  <si>
    <t>HDTurkie_Medal_113</t>
  </si>
  <si>
    <t>HDTurkie_Medal_114</t>
  </si>
  <si>
    <t>HDTurkie_Medal_115</t>
  </si>
  <si>
    <t>HDTurkie_Medal_116</t>
  </si>
  <si>
    <t>HDTurkie_Medal_117</t>
  </si>
  <si>
    <t>HDTurkie_Medal_118</t>
  </si>
  <si>
    <t>HDTurkie_Medal_119</t>
  </si>
  <si>
    <t>HDTurkie_Medal_120</t>
  </si>
  <si>
    <t>HDTurkie_Medal_121</t>
  </si>
  <si>
    <t>HDTurkie_Medal_122</t>
  </si>
  <si>
    <t>HDTurkie_Medal_123</t>
  </si>
  <si>
    <t>HDTurkie_Medal_124</t>
  </si>
  <si>
    <t>HDTurkie_Medal_125</t>
  </si>
  <si>
    <t>HDTurkie_Medal_126</t>
  </si>
  <si>
    <t>HDTurkie_Medal_127</t>
  </si>
  <si>
    <t>HDTurkie_Medal_128</t>
  </si>
  <si>
    <t>HDTurkie_Kill</t>
  </si>
  <si>
    <t>HDTurkie_Kill from the Grave</t>
  </si>
  <si>
    <t>HDTurkie_Medal_131</t>
  </si>
  <si>
    <t>HDTurkie_Medal_132</t>
  </si>
  <si>
    <t>HDTurkie_Medal_133</t>
  </si>
  <si>
    <t>HDTurkie_Medal_134</t>
  </si>
  <si>
    <t>HDTurkie_Killing Frenzy</t>
  </si>
  <si>
    <t>HDTurkie_Killing Spree</t>
  </si>
  <si>
    <t>HDTurkie_Medal_137</t>
  </si>
  <si>
    <t>HDTurkie_Killjoy</t>
  </si>
  <si>
    <t>HDTurkie_Medal_139</t>
  </si>
  <si>
    <t>HDTurkie_Medal_140</t>
  </si>
  <si>
    <t>HDTurkie_Medal_141</t>
  </si>
  <si>
    <t>HDTurkie_Medal_142</t>
  </si>
  <si>
    <t>HDTurkie_Medal_143</t>
  </si>
  <si>
    <t>HDTurkie_Medal_144</t>
  </si>
  <si>
    <t>HDTurkie_Medal_145</t>
  </si>
  <si>
    <t>HDTurkie_Medal_146</t>
  </si>
  <si>
    <t>HDTurkie_Medal_147</t>
  </si>
  <si>
    <t>HDTurkie_Medal_148</t>
  </si>
  <si>
    <t>HDTurkie_Medal_149</t>
  </si>
  <si>
    <t>HDTurkie_Medal_150</t>
  </si>
  <si>
    <t>HDTurkie_Last Strike</t>
  </si>
  <si>
    <t>HDTurkie_Medal_152</t>
  </si>
  <si>
    <t>HDTurkie_Medal_153</t>
  </si>
  <si>
    <t>HDTurkie_Medal_154</t>
  </si>
  <si>
    <t>HDTurkie_Medal_155</t>
  </si>
  <si>
    <t>HDTurkie_Melee Kill</t>
  </si>
  <si>
    <t>HDTurkie_Medal_157</t>
  </si>
  <si>
    <t>HDTurkie_Medal_158</t>
  </si>
  <si>
    <t>HDTurkie_Medal_159</t>
  </si>
  <si>
    <t>HDTurkie_Medal_160</t>
  </si>
  <si>
    <t>HDTurkie_Medal_161</t>
  </si>
  <si>
    <t>HDTurkie_Medal_162</t>
  </si>
  <si>
    <t>HDTurkie_Medal_163</t>
  </si>
  <si>
    <t>HDTurkie_Medal_164</t>
  </si>
  <si>
    <t>HDTurkie_Medal_165</t>
  </si>
  <si>
    <t>HDTurkie_Medal_166</t>
  </si>
  <si>
    <t>HDTurkie_Medal_167</t>
  </si>
  <si>
    <t>HDTurkie_Medal_168</t>
  </si>
  <si>
    <t>HDTurkie_Medal_169</t>
  </si>
  <si>
    <t>HDTurkie_Medal_170</t>
  </si>
  <si>
    <t>HDTurkie_Protector</t>
  </si>
  <si>
    <t>HDTurkie_Medal_172</t>
  </si>
  <si>
    <t>HDTurkie_Medal_173</t>
  </si>
  <si>
    <t>HDTurkie_Medal_174</t>
  </si>
  <si>
    <t>HDTurkie_Medal_175</t>
  </si>
  <si>
    <t>HDTurkie_Medal_176</t>
  </si>
  <si>
    <t>HDTurkie_Medal_177</t>
  </si>
  <si>
    <t>HDTurkie_Medal_178</t>
  </si>
  <si>
    <t>HDTurkie_Medal_179</t>
  </si>
  <si>
    <t>HDTurkie_Reload This</t>
  </si>
  <si>
    <t>HDTurkie_Medal_181</t>
  </si>
  <si>
    <t>HDTurkie_Medal_182</t>
  </si>
  <si>
    <t>HDTurkie_Medal_183</t>
  </si>
  <si>
    <t>HDTurkie_Revenge</t>
  </si>
  <si>
    <t>HDTurkie_Medal_185</t>
  </si>
  <si>
    <t>HDTurkie_Medal_186</t>
  </si>
  <si>
    <t>HDTurkie_Rocket Kill</t>
  </si>
  <si>
    <t>HDTurkie_Medal_188</t>
  </si>
  <si>
    <t>HDTurkie_Medal_189</t>
  </si>
  <si>
    <t>HDTurkie_Medal_190</t>
  </si>
  <si>
    <t>HDTurkie_Medal_191</t>
  </si>
  <si>
    <t>HDTurkie_Medal_192</t>
  </si>
  <si>
    <t>HDTurkie_Medal_193</t>
  </si>
  <si>
    <t>HDTurkie_Medal_194</t>
  </si>
  <si>
    <t>HDTurkie_Medal_195</t>
  </si>
  <si>
    <t>HDTurkie_Sentinel Beam Kill</t>
  </si>
  <si>
    <t>HDTurkie_Medal_197</t>
  </si>
  <si>
    <t>HDTurkie_Medal_198</t>
  </si>
  <si>
    <t>HDTurkie_Medal_199</t>
  </si>
  <si>
    <t>HDTurkie_Medal_200</t>
  </si>
  <si>
    <t>HDTurkie_Medal_201</t>
  </si>
  <si>
    <t>HDTurkie_Medal_202</t>
  </si>
  <si>
    <t>HDTurkie_Medal_203</t>
  </si>
  <si>
    <t>HDTurkie_Medal_204</t>
  </si>
  <si>
    <t>HDTurkie_Medal_205</t>
  </si>
  <si>
    <t>HDTurkie_Medal_206</t>
  </si>
  <si>
    <t>HDTurkie_Medal_207</t>
  </si>
  <si>
    <t>HDTurkie_Snapshot</t>
  </si>
  <si>
    <t>HDTurkie_Medal_209</t>
  </si>
  <si>
    <t>HDTurkie_Sniper Spree</t>
  </si>
  <si>
    <t>HDTurkie_Medal_211</t>
  </si>
  <si>
    <t>HDTurkie_Medal_212</t>
  </si>
  <si>
    <t>HDTurkie_Medal_213</t>
  </si>
  <si>
    <t>HDTurkie_Medal_214</t>
  </si>
  <si>
    <t>HDTurkie_Medal_215</t>
  </si>
  <si>
    <t>HDTurkie_Medal_216</t>
  </si>
  <si>
    <t>HDTurkie_Medal_217</t>
  </si>
  <si>
    <t>HDTurkie_Medal_218</t>
  </si>
  <si>
    <t>HDTurkie_Medal_219</t>
  </si>
  <si>
    <t>HDTurkie_Medal_220</t>
  </si>
  <si>
    <t>HDTurkie_Medal_221</t>
  </si>
  <si>
    <t>HDTurkie_Medal_222</t>
  </si>
  <si>
    <t>HDTurkie_Triple Double</t>
  </si>
  <si>
    <t>HDTurkie_Medal_224</t>
  </si>
  <si>
    <t>HDTurkie_Medal_225</t>
  </si>
  <si>
    <t>HDTurkie_Medal_226</t>
  </si>
  <si>
    <t>HDTurkie_Medal_227</t>
  </si>
  <si>
    <t>HDTurkie_Medal_228</t>
  </si>
  <si>
    <t>HDTurkie_Medal_229</t>
  </si>
  <si>
    <t>HDTurkie_Medal_230</t>
  </si>
  <si>
    <t>HDTurkie_Medal_231</t>
  </si>
  <si>
    <t>HDTurkie_Medal_232</t>
  </si>
  <si>
    <t>HDTurkie_Medal_233</t>
  </si>
  <si>
    <t>HDTurkie_Medal_234</t>
  </si>
  <si>
    <t>HDTurkie_Medal_235</t>
  </si>
  <si>
    <t>HDTurkie_Medal_236</t>
  </si>
  <si>
    <t>HDTurkie_Medal_237</t>
  </si>
  <si>
    <t>HDTurkie_Medal_238</t>
  </si>
  <si>
    <t>HDTurkie_Medal_239</t>
  </si>
  <si>
    <t>HDTurkie_Medal_240</t>
  </si>
  <si>
    <t>HDTurkie_Medal_241</t>
  </si>
  <si>
    <t>HDTurkie_Medal_242</t>
  </si>
  <si>
    <t>HDTurkie_Medal_243</t>
  </si>
  <si>
    <t>HDTurkie_Medal_244</t>
  </si>
  <si>
    <t>HDTurkie_Medal_245</t>
  </si>
  <si>
    <t>HDTurkie_Medal_246</t>
  </si>
  <si>
    <t>HDTurkie_Medal_247</t>
  </si>
  <si>
    <t>HDTurkie_Medal_248</t>
  </si>
  <si>
    <t>HDTurkie_Medal_249</t>
  </si>
  <si>
    <t>HDTurkie_Medal_250</t>
  </si>
  <si>
    <t>HDTurkie_Medal_251</t>
  </si>
  <si>
    <t>HDTurkie_Medal_252</t>
  </si>
  <si>
    <t>HDTurkie_Medal_253</t>
  </si>
  <si>
    <t>HDTurkie_Medal_254</t>
  </si>
  <si>
    <t>HDTurkie_Medal_255</t>
  </si>
  <si>
    <t>HDTurkie_Medal_256</t>
  </si>
  <si>
    <t>HDTurkie_Medal_257</t>
  </si>
  <si>
    <t>HDTurkie_Medal_258</t>
  </si>
  <si>
    <t>HDTurkie_Medal_259</t>
  </si>
  <si>
    <t>HDTurkie_Medal_260</t>
  </si>
  <si>
    <t>HDTurkie_Medal_261</t>
  </si>
  <si>
    <t>HDTurkie_Medal_262</t>
  </si>
  <si>
    <t>HDTurkie_Medal_263</t>
  </si>
  <si>
    <t>HDTurkie_Medal_264</t>
  </si>
  <si>
    <t>HDTurkie_Medal_265</t>
  </si>
  <si>
    <t>HDTurkie_Sniper Kill</t>
  </si>
  <si>
    <t>HDTurkie_Medal_267</t>
  </si>
  <si>
    <t>HDTurkie_Medal_268</t>
  </si>
  <si>
    <t>HDTurkie_Medal_269</t>
  </si>
  <si>
    <t>HDTurkie_Medal_270</t>
  </si>
  <si>
    <t>HDTurkie_Medal_271</t>
  </si>
  <si>
    <t>HDTurkie_Medal_272</t>
  </si>
  <si>
    <t>HDTurkie_Medal_273</t>
  </si>
  <si>
    <t>HDTurkie_Medal_274</t>
  </si>
  <si>
    <t>HDTurkie_Medal_275</t>
  </si>
  <si>
    <t>HDTurkie_Medal_276</t>
  </si>
  <si>
    <t>HDTurkie_Medal_277</t>
  </si>
  <si>
    <t>HDTurkie_Medal_278</t>
  </si>
  <si>
    <t>HDTurkie_Medal_279</t>
  </si>
  <si>
    <t>HDTurkie_Medal_280</t>
  </si>
  <si>
    <t>HDTurkie_Medal_281</t>
  </si>
  <si>
    <t>HDTurkie_Medal_282</t>
  </si>
  <si>
    <t>HDTurkie_Medal_283</t>
  </si>
  <si>
    <t>HDTurkie_Medal_284</t>
  </si>
  <si>
    <t>HDTurkie_Medal_285</t>
  </si>
  <si>
    <t>HDTurkie_Medal_286</t>
  </si>
  <si>
    <t>HDTurkie_Medal_287</t>
  </si>
  <si>
    <t>HDTurkie_Medal_288</t>
  </si>
  <si>
    <t>HDTurkie_Medal_289</t>
  </si>
  <si>
    <t>HDTurkie_Medal_290</t>
  </si>
  <si>
    <t>HDTurkie_Medal_291</t>
  </si>
  <si>
    <t>HDTurkie_Medal_292</t>
  </si>
  <si>
    <t>HDTurkie_Medal_293</t>
  </si>
  <si>
    <t>HDTurkie_Medal_294</t>
  </si>
  <si>
    <t>HDTurkie_Medal_295</t>
  </si>
  <si>
    <t>HDTurkie_Medal_296</t>
  </si>
  <si>
    <t>HDTurkie_Medal_297</t>
  </si>
  <si>
    <t>HDTurkie_Medal_298</t>
  </si>
  <si>
    <t>HDTurkie_Medal_299</t>
  </si>
  <si>
    <t>HDTurkie_Medal_300</t>
  </si>
  <si>
    <t>HDTurkie_Medal_301</t>
  </si>
  <si>
    <t>HDTurkie_Medal_302</t>
  </si>
  <si>
    <t>HDTurkie_Medal_303</t>
  </si>
  <si>
    <t>HDTurkie_Medal_304</t>
  </si>
  <si>
    <t>HDTurkie_Medal_305</t>
  </si>
  <si>
    <t>HDTurkie_Medal_306</t>
  </si>
  <si>
    <t>HDTurkie_Medal_307</t>
  </si>
  <si>
    <t>HDTurkie_Medal_308</t>
  </si>
  <si>
    <t>HDTurkie_Medal_309</t>
  </si>
  <si>
    <t>HDTurkie_Medal_310</t>
  </si>
  <si>
    <t>HDTurkie_Medal_311</t>
  </si>
  <si>
    <t>HDTurkie_Medal_312</t>
  </si>
  <si>
    <t>HDTurkie_Medal_313</t>
  </si>
  <si>
    <t>HDTurkie_Medal_314</t>
  </si>
  <si>
    <t>HDTurkie_Medal_315</t>
  </si>
  <si>
    <t>HDTurkie_Medal_316</t>
  </si>
  <si>
    <t>HDTurkie_Medal_317</t>
  </si>
  <si>
    <t>HDTurkie_Medal_318</t>
  </si>
  <si>
    <t>HDTurkie_Medal_319</t>
  </si>
  <si>
    <t>HDTurkie_Medal_320</t>
  </si>
  <si>
    <t>HDTurkie_Medal_321</t>
  </si>
  <si>
    <t>HDTurkie_Medal_322</t>
  </si>
  <si>
    <t>HDTurkie_Medal_323</t>
  </si>
  <si>
    <t>HDTurkie_Medal_324</t>
  </si>
  <si>
    <t>HDTurkie_Medal_325</t>
  </si>
  <si>
    <t>HDTurkie_Medal_326</t>
  </si>
  <si>
    <t>HDTurkie_Medal_327</t>
  </si>
  <si>
    <t>HDTurkie_Medal_328</t>
  </si>
  <si>
    <t>HDTurkie_Medal_329</t>
  </si>
  <si>
    <t>HDTurkie_Medal_330</t>
  </si>
  <si>
    <t>HDTurkie_Medal_331</t>
  </si>
  <si>
    <t>HDTurkie_Medal_332</t>
  </si>
  <si>
    <t>HDTurkie_Medal_333</t>
  </si>
  <si>
    <t>HDTurkie_Medal_334</t>
  </si>
  <si>
    <t>HDTurkie_Medal_335</t>
  </si>
  <si>
    <t>HDTurkie_Medal_336</t>
  </si>
  <si>
    <t>HDTurkie_Medal_337</t>
  </si>
  <si>
    <t>HDTurkie_Medal_338</t>
  </si>
  <si>
    <t>HDTurkie_Medal_339</t>
  </si>
  <si>
    <t>HDTurkie_Medal_340</t>
  </si>
  <si>
    <t>HDTurkie_Medal_341</t>
  </si>
  <si>
    <t>HDTurkie_Medal_342</t>
  </si>
  <si>
    <t>HDTurkie_Medal_343</t>
  </si>
  <si>
    <t>HDTurkie_Medal_344</t>
  </si>
  <si>
    <t>HDTurkie_Medal_345</t>
  </si>
  <si>
    <t>HDTurkie_Medal_346</t>
  </si>
  <si>
    <t>HDTurkie_Medal_347</t>
  </si>
  <si>
    <t>HDTurkie_Medal_348</t>
  </si>
  <si>
    <t>HDTurkie_Medal_349</t>
  </si>
  <si>
    <t>HDTurkie_Medal_350</t>
  </si>
  <si>
    <t>HDTurkie_Medal_351</t>
  </si>
  <si>
    <t>HDTurkie_Medal_352</t>
  </si>
  <si>
    <t>HDTurkie_Medal_353</t>
  </si>
  <si>
    <t>HDTurkie_Medal_354</t>
  </si>
  <si>
    <t>HDTurkie_Medal_355</t>
  </si>
  <si>
    <t>HDTurkie_Medal_356</t>
  </si>
  <si>
    <t>HDTurkie_Medal_357</t>
  </si>
  <si>
    <t>HDTurkie_Medal_358</t>
  </si>
  <si>
    <t>HDTurkie_Medal_359</t>
  </si>
  <si>
    <t>HDTurkie_Medal_360</t>
  </si>
  <si>
    <t>HDTurkie_Medal_361</t>
  </si>
  <si>
    <t>HDTurkie_Medal_362</t>
  </si>
  <si>
    <t>HDTurkie_Medal_363</t>
  </si>
  <si>
    <t>HDTurkie_Medal_364</t>
  </si>
  <si>
    <t>HDTurkie_Medal_365</t>
  </si>
  <si>
    <t>HDTurkie_Medal_366</t>
  </si>
  <si>
    <t>HDTurkie_Medal_367</t>
  </si>
  <si>
    <t>HDTurkie_Medal_368</t>
  </si>
  <si>
    <t>HDTurkie_Medal_369</t>
  </si>
  <si>
    <t>HDTurkie_Medal_370</t>
  </si>
  <si>
    <t>HDTurkie_Medal_371</t>
  </si>
  <si>
    <t>HDTurkie_Medal_372</t>
  </si>
  <si>
    <t>HDTurkie_Medal_373</t>
  </si>
  <si>
    <t>HDTurkie_Medal_374</t>
  </si>
  <si>
    <t>HDTurkie_Medal_375</t>
  </si>
  <si>
    <t>HDTurkie_Medal_376</t>
  </si>
  <si>
    <t>HDTurkie_Medal_377</t>
  </si>
  <si>
    <t>HDTurkie_Medal_378</t>
  </si>
  <si>
    <t>HDTurkie_Medal_379</t>
  </si>
  <si>
    <t>HDTurkie_Medal_380</t>
  </si>
  <si>
    <t>HDTurkie_Medal_381</t>
  </si>
  <si>
    <t>HDTurkie_Medal_382</t>
  </si>
  <si>
    <t>HDTurkie_Medal_383</t>
  </si>
  <si>
    <t>IKEMAN2684_Team</t>
  </si>
  <si>
    <t>IKEMAN2684_Score</t>
  </si>
  <si>
    <t>IKEMAN2684_Kills</t>
  </si>
  <si>
    <t>IKEMAN2684_Deaths</t>
  </si>
  <si>
    <t>IKEMAN2684_Assists</t>
  </si>
  <si>
    <t>IKEMAN2684_Betrayals</t>
  </si>
  <si>
    <t>IKEMAN2684_Suicides</t>
  </si>
  <si>
    <t>IKEMAN2684_WeaponKills</t>
  </si>
  <si>
    <t>IKEMAN2684_GrenadeKills</t>
  </si>
  <si>
    <t>IKEMAN2684_MeleeKills</t>
  </si>
  <si>
    <t>IKEMAN2684_OtherKills</t>
  </si>
  <si>
    <t>IKEMAN2684_SecondsAlive</t>
  </si>
  <si>
    <t>IKEMAN2684_SecondsPlayed</t>
  </si>
  <si>
    <t>IKEMAN2684_Standing</t>
  </si>
  <si>
    <t>IKEMAN2684_TotalMedalCount</t>
  </si>
  <si>
    <t>IKEMAN2684_MostKillsInARow</t>
  </si>
  <si>
    <t>IKEMAN2684_KilledMostPlayer</t>
  </si>
  <si>
    <t>IKEMAN2684_KilledMostPlayerCount</t>
  </si>
  <si>
    <t>IKEMAN2684_MostKilledByPlayer</t>
  </si>
  <si>
    <t>IKEMAN2684_MostKilledByPlayerCount</t>
  </si>
  <si>
    <t>IKEMAN2684_MostUsedWeapon</t>
  </si>
  <si>
    <t>IKEMAN2684_MostUsedWeaponCount</t>
  </si>
  <si>
    <t>IKEMAN2684_OddballTime</t>
  </si>
  <si>
    <t>IKEMAN2684_HillTime</t>
  </si>
  <si>
    <t>IKEMAN2684_CamoKills</t>
  </si>
  <si>
    <t>IKEMAN2684_GrenadeSticks</t>
  </si>
  <si>
    <t>IKEMAN2684_FlagScores</t>
  </si>
  <si>
    <t>IKEMAN2684_FlagGrabs</t>
  </si>
  <si>
    <t>IKEMAN2684_BombScores</t>
  </si>
  <si>
    <t>IKEMAN2684_BombGrabs</t>
  </si>
  <si>
    <t>IKEMAN2684_KDR</t>
  </si>
  <si>
    <t>IKEMAN2684_Medal_0</t>
  </si>
  <si>
    <t>IKEMAN2684_Medal_1</t>
  </si>
  <si>
    <t>IKEMAN2684_Medal_2</t>
  </si>
  <si>
    <t>IKEMAN2684_Medal_3</t>
  </si>
  <si>
    <t>IKEMAN2684_Medal_4</t>
  </si>
  <si>
    <t>IKEMAN2684_Medal_5</t>
  </si>
  <si>
    <t>IKEMAN2684_Medal_6</t>
  </si>
  <si>
    <t>IKEMAN2684_Medal_7</t>
  </si>
  <si>
    <t>IKEMAN2684_Assist</t>
  </si>
  <si>
    <t>IKEMAN2684_Avenger</t>
  </si>
  <si>
    <t>IKEMAN2684_Medal_10</t>
  </si>
  <si>
    <t>IKEMAN2684_Medal_11</t>
  </si>
  <si>
    <t>IKEMAN2684_Medal_12</t>
  </si>
  <si>
    <t>IKEMAN2684_Medal_13</t>
  </si>
  <si>
    <t>IKEMAN2684_Medal_14</t>
  </si>
  <si>
    <t>IKEMAN2684_Medal_15</t>
  </si>
  <si>
    <t>IKEMAN2684_Medal_16</t>
  </si>
  <si>
    <t>IKEMAN2684_Medal_17</t>
  </si>
  <si>
    <t>IKEMAN2684_Medal_18</t>
  </si>
  <si>
    <t>IKEMAN2684_Medal_19</t>
  </si>
  <si>
    <t>IKEMAN2684_Medal_20</t>
  </si>
  <si>
    <t>IKEMAN2684_Medal_21</t>
  </si>
  <si>
    <t>IKEMAN2684_Medal_22</t>
  </si>
  <si>
    <t>IKEMAN2684_Medal_23</t>
  </si>
  <si>
    <t>IKEMAN2684_Medal_24</t>
  </si>
  <si>
    <t>IKEMAN2684_Medal_25</t>
  </si>
  <si>
    <t>IKEMAN2684_Medal_26</t>
  </si>
  <si>
    <t>IKEMAN2684_Medal_27</t>
  </si>
  <si>
    <t>IKEMAN2684_Medal_28</t>
  </si>
  <si>
    <t>IKEMAN2684_Medal_29</t>
  </si>
  <si>
    <t>IKEMAN2684_Medal_30</t>
  </si>
  <si>
    <t>IKEMAN2684_Medal_31</t>
  </si>
  <si>
    <t>IKEMAN2684_Medal_32</t>
  </si>
  <si>
    <t>IKEMAN2684_Medal_33</t>
  </si>
  <si>
    <t>IKEMAN2684_Medal_34</t>
  </si>
  <si>
    <t>IKEMAN2684_Medal_35</t>
  </si>
  <si>
    <t>IKEMAN2684_Medal_36</t>
  </si>
  <si>
    <t>IKEMAN2684_Medal_37</t>
  </si>
  <si>
    <t>IKEMAN2684_Medal_38</t>
  </si>
  <si>
    <t>IKEMAN2684_Medal_39</t>
  </si>
  <si>
    <t>IKEMAN2684_Medal_40</t>
  </si>
  <si>
    <t>IKEMAN2684_Medal_41</t>
  </si>
  <si>
    <t>IKEMAN2684_Medal_42</t>
  </si>
  <si>
    <t>IKEMAN2684_Medal_43</t>
  </si>
  <si>
    <t>IKEMAN2684_Medal_44</t>
  </si>
  <si>
    <t>IKEMAN2684_Medal_45</t>
  </si>
  <si>
    <t>IKEMAN2684_Medal_46</t>
  </si>
  <si>
    <t>IKEMAN2684_Medal_47</t>
  </si>
  <si>
    <t>IKEMAN2684_Medal_48</t>
  </si>
  <si>
    <t>IKEMAN2684_Medal_49</t>
  </si>
  <si>
    <t>IKEMAN2684_Medal_50</t>
  </si>
  <si>
    <t>IKEMAN2684_Medal_51</t>
  </si>
  <si>
    <t>IKEMAN2684_Medal_52</t>
  </si>
  <si>
    <t>IKEMAN2684_Medal_53</t>
  </si>
  <si>
    <t>IKEMAN2684_Close Call</t>
  </si>
  <si>
    <t>IKEMAN2684_Comeback Kill</t>
  </si>
  <si>
    <t>IKEMAN2684_Medal_56</t>
  </si>
  <si>
    <t>IKEMAN2684_Medal_57</t>
  </si>
  <si>
    <t>IKEMAN2684_Medal_58</t>
  </si>
  <si>
    <t>IKEMAN2684_Medal_59</t>
  </si>
  <si>
    <t>IKEMAN2684_Medal_60</t>
  </si>
  <si>
    <t>IKEMAN2684_Medal_61</t>
  </si>
  <si>
    <t>IKEMAN2684_Double Kill</t>
  </si>
  <si>
    <t>IKEMAN2684_Medal_63</t>
  </si>
  <si>
    <t>IKEMAN2684_Medal_64</t>
  </si>
  <si>
    <t>IKEMAN2684_Medal_65</t>
  </si>
  <si>
    <t>IKEMAN2684_Medal_66</t>
  </si>
  <si>
    <t>IKEMAN2684_Medal_67</t>
  </si>
  <si>
    <t>IKEMAN2684_Medal_68</t>
  </si>
  <si>
    <t>IKEMAN2684_Medal_69</t>
  </si>
  <si>
    <t>IKEMAN2684_Medal_70</t>
  </si>
  <si>
    <t>IKEMAN2684_Medal_71</t>
  </si>
  <si>
    <t>IKEMAN2684_Medal_72</t>
  </si>
  <si>
    <t>IKEMAN2684_Medal_73</t>
  </si>
  <si>
    <t>IKEMAN2684_First Strike</t>
  </si>
  <si>
    <t>IKEMAN2684_Medal_75</t>
  </si>
  <si>
    <t>IKEMAN2684_Medal_76</t>
  </si>
  <si>
    <t>IKEMAN2684_Medal_77</t>
  </si>
  <si>
    <t>IKEMAN2684_Medal_78</t>
  </si>
  <si>
    <t>IKEMAN2684_Medal_79</t>
  </si>
  <si>
    <t>IKEMAN2684_Medal_80</t>
  </si>
  <si>
    <t>IKEMAN2684_Medal_81</t>
  </si>
  <si>
    <t>IKEMAN2684_Medal_82</t>
  </si>
  <si>
    <t>IKEMAN2684_Medal_83</t>
  </si>
  <si>
    <t>IKEMAN2684_Medal_84</t>
  </si>
  <si>
    <t>IKEMAN2684_Medal_85</t>
  </si>
  <si>
    <t>IKEMAN2684_Medal_86</t>
  </si>
  <si>
    <t>IKEMAN2684_Medal_87</t>
  </si>
  <si>
    <t>IKEMAN2684_Medal_88</t>
  </si>
  <si>
    <t>IKEMAN2684_Medal_89</t>
  </si>
  <si>
    <t>IKEMAN2684_Medal_90</t>
  </si>
  <si>
    <t>IKEMAN2684_Medal_91</t>
  </si>
  <si>
    <t>IKEMAN2684_Medal_92</t>
  </si>
  <si>
    <t>IKEMAN2684_Medal_93</t>
  </si>
  <si>
    <t>IKEMAN2684_Medal_94</t>
  </si>
  <si>
    <t>IKEMAN2684_Medal_95</t>
  </si>
  <si>
    <t>IKEMAN2684_Medal_96</t>
  </si>
  <si>
    <t>IKEMAN2684_Medal_97</t>
  </si>
  <si>
    <t>IKEMAN2684_Medal_98</t>
  </si>
  <si>
    <t>IKEMAN2684_Medal_99</t>
  </si>
  <si>
    <t>IKEMAN2684_Medal_100</t>
  </si>
  <si>
    <t>IKEMAN2684_Medal_101</t>
  </si>
  <si>
    <t>IKEMAN2684_Medal_102</t>
  </si>
  <si>
    <t>IKEMAN2684_Medal_103</t>
  </si>
  <si>
    <t>IKEMAN2684_Grenade Kill</t>
  </si>
  <si>
    <t>IKEMAN2684_Medal_105</t>
  </si>
  <si>
    <t>IKEMAN2684_Medal_106</t>
  </si>
  <si>
    <t>IKEMAN2684_Medal_107</t>
  </si>
  <si>
    <t>IKEMAN2684_Medal_108</t>
  </si>
  <si>
    <t>IKEMAN2684_Medal_109</t>
  </si>
  <si>
    <t>IKEMAN2684_Medal_110</t>
  </si>
  <si>
    <t>IKEMAN2684_Headshot</t>
  </si>
  <si>
    <t>IKEMAN2684_Medal_112</t>
  </si>
  <si>
    <t>IKEMAN2684_Medal_113</t>
  </si>
  <si>
    <t>IKEMAN2684_Medal_114</t>
  </si>
  <si>
    <t>IKEMAN2684_Medal_115</t>
  </si>
  <si>
    <t>IKEMAN2684_Medal_116</t>
  </si>
  <si>
    <t>IKEMAN2684_Medal_117</t>
  </si>
  <si>
    <t>IKEMAN2684_Medal_118</t>
  </si>
  <si>
    <t>IKEMAN2684_Medal_119</t>
  </si>
  <si>
    <t>IKEMAN2684_Medal_120</t>
  </si>
  <si>
    <t>IKEMAN2684_Medal_121</t>
  </si>
  <si>
    <t>IKEMAN2684_Medal_122</t>
  </si>
  <si>
    <t>IKEMAN2684_Medal_123</t>
  </si>
  <si>
    <t>IKEMAN2684_Medal_124</t>
  </si>
  <si>
    <t>IKEMAN2684_Medal_125</t>
  </si>
  <si>
    <t>IKEMAN2684_Medal_126</t>
  </si>
  <si>
    <t>IKEMAN2684_Medal_127</t>
  </si>
  <si>
    <t>IKEMAN2684_Medal_128</t>
  </si>
  <si>
    <t>IKEMAN2684_Kill</t>
  </si>
  <si>
    <t>IKEMAN2684_Kill from the Grave</t>
  </si>
  <si>
    <t>IKEMAN2684_Medal_131</t>
  </si>
  <si>
    <t>IKEMAN2684_Medal_132</t>
  </si>
  <si>
    <t>IKEMAN2684_Medal_133</t>
  </si>
  <si>
    <t>IKEMAN2684_Medal_134</t>
  </si>
  <si>
    <t>IKEMAN2684_Killing Frenzy</t>
  </si>
  <si>
    <t>IKEMAN2684_Killing Spree</t>
  </si>
  <si>
    <t>IKEMAN2684_Medal_137</t>
  </si>
  <si>
    <t>IKEMAN2684_Killjoy</t>
  </si>
  <si>
    <t>IKEMAN2684_Medal_139</t>
  </si>
  <si>
    <t>IKEMAN2684_Medal_140</t>
  </si>
  <si>
    <t>IKEMAN2684_Medal_141</t>
  </si>
  <si>
    <t>IKEMAN2684_Medal_142</t>
  </si>
  <si>
    <t>IKEMAN2684_Medal_143</t>
  </si>
  <si>
    <t>IKEMAN2684_Medal_144</t>
  </si>
  <si>
    <t>IKEMAN2684_Medal_145</t>
  </si>
  <si>
    <t>IKEMAN2684_Medal_146</t>
  </si>
  <si>
    <t>IKEMAN2684_Medal_147</t>
  </si>
  <si>
    <t>IKEMAN2684_Medal_148</t>
  </si>
  <si>
    <t>IKEMAN2684_Medal_149</t>
  </si>
  <si>
    <t>IKEMAN2684_Medal_150</t>
  </si>
  <si>
    <t>IKEMAN2684_Last Strike</t>
  </si>
  <si>
    <t>IKEMAN2684_Medal_152</t>
  </si>
  <si>
    <t>IKEMAN2684_Medal_153</t>
  </si>
  <si>
    <t>IKEMAN2684_Medal_154</t>
  </si>
  <si>
    <t>IKEMAN2684_Medal_155</t>
  </si>
  <si>
    <t>IKEMAN2684_Melee Kill</t>
  </si>
  <si>
    <t>IKEMAN2684_Medal_157</t>
  </si>
  <si>
    <t>IKEMAN2684_Medal_158</t>
  </si>
  <si>
    <t>IKEMAN2684_Medal_159</t>
  </si>
  <si>
    <t>IKEMAN2684_Medal_160</t>
  </si>
  <si>
    <t>IKEMAN2684_Medal_161</t>
  </si>
  <si>
    <t>IKEMAN2684_Medal_162</t>
  </si>
  <si>
    <t>IKEMAN2684_Medal_163</t>
  </si>
  <si>
    <t>IKEMAN2684_Medal_164</t>
  </si>
  <si>
    <t>IKEMAN2684_Medal_165</t>
  </si>
  <si>
    <t>IKEMAN2684_Medal_166</t>
  </si>
  <si>
    <t>IKEMAN2684_Medal_167</t>
  </si>
  <si>
    <t>IKEMAN2684_Medal_168</t>
  </si>
  <si>
    <t>IKEMAN2684_Medal_169</t>
  </si>
  <si>
    <t>IKEMAN2684_Medal_170</t>
  </si>
  <si>
    <t>IKEMAN2684_Protector</t>
  </si>
  <si>
    <t>IKEMAN2684_Medal_172</t>
  </si>
  <si>
    <t>IKEMAN2684_Medal_173</t>
  </si>
  <si>
    <t>IKEMAN2684_Medal_174</t>
  </si>
  <si>
    <t>IKEMAN2684_Medal_175</t>
  </si>
  <si>
    <t>IKEMAN2684_Medal_176</t>
  </si>
  <si>
    <t>IKEMAN2684_Medal_177</t>
  </si>
  <si>
    <t>IKEMAN2684_Medal_178</t>
  </si>
  <si>
    <t>IKEMAN2684_Medal_179</t>
  </si>
  <si>
    <t>IKEMAN2684_Reload This</t>
  </si>
  <si>
    <t>IKEMAN2684_Medal_181</t>
  </si>
  <si>
    <t>IKEMAN2684_Medal_182</t>
  </si>
  <si>
    <t>IKEMAN2684_Medal_183</t>
  </si>
  <si>
    <t>IKEMAN2684_Revenge</t>
  </si>
  <si>
    <t>IKEMAN2684_Medal_185</t>
  </si>
  <si>
    <t>IKEMAN2684_Medal_186</t>
  </si>
  <si>
    <t>IKEMAN2684_Rocket Kill</t>
  </si>
  <si>
    <t>IKEMAN2684_Medal_188</t>
  </si>
  <si>
    <t>IKEMAN2684_Medal_189</t>
  </si>
  <si>
    <t>IKEMAN2684_Medal_190</t>
  </si>
  <si>
    <t>IKEMAN2684_Medal_191</t>
  </si>
  <si>
    <t>IKEMAN2684_Medal_192</t>
  </si>
  <si>
    <t>IKEMAN2684_Medal_193</t>
  </si>
  <si>
    <t>IKEMAN2684_Medal_194</t>
  </si>
  <si>
    <t>IKEMAN2684_Medal_195</t>
  </si>
  <si>
    <t>IKEMAN2684_Sentinel Beam Kill</t>
  </si>
  <si>
    <t>IKEMAN2684_Medal_197</t>
  </si>
  <si>
    <t>IKEMAN2684_Medal_198</t>
  </si>
  <si>
    <t>IKEMAN2684_Medal_199</t>
  </si>
  <si>
    <t>IKEMAN2684_Medal_200</t>
  </si>
  <si>
    <t>IKEMAN2684_Medal_201</t>
  </si>
  <si>
    <t>IKEMAN2684_Medal_202</t>
  </si>
  <si>
    <t>IKEMAN2684_Medal_203</t>
  </si>
  <si>
    <t>IKEMAN2684_Medal_204</t>
  </si>
  <si>
    <t>IKEMAN2684_Medal_205</t>
  </si>
  <si>
    <t>IKEMAN2684_Medal_206</t>
  </si>
  <si>
    <t>IKEMAN2684_Medal_207</t>
  </si>
  <si>
    <t>IKEMAN2684_Snapshot</t>
  </si>
  <si>
    <t>IKEMAN2684_Medal_209</t>
  </si>
  <si>
    <t>IKEMAN2684_Sniper Spree</t>
  </si>
  <si>
    <t>IKEMAN2684_Medal_211</t>
  </si>
  <si>
    <t>IKEMAN2684_Medal_212</t>
  </si>
  <si>
    <t>IKEMAN2684_Medal_213</t>
  </si>
  <si>
    <t>IKEMAN2684_Medal_214</t>
  </si>
  <si>
    <t>IKEMAN2684_Medal_215</t>
  </si>
  <si>
    <t>IKEMAN2684_Medal_216</t>
  </si>
  <si>
    <t>IKEMAN2684_Medal_217</t>
  </si>
  <si>
    <t>IKEMAN2684_Medal_218</t>
  </si>
  <si>
    <t>IKEMAN2684_Medal_219</t>
  </si>
  <si>
    <t>IKEMAN2684_Medal_220</t>
  </si>
  <si>
    <t>IKEMAN2684_Medal_221</t>
  </si>
  <si>
    <t>IKEMAN2684_Medal_222</t>
  </si>
  <si>
    <t>IKEMAN2684_Triple Double</t>
  </si>
  <si>
    <t>IKEMAN2684_Medal_224</t>
  </si>
  <si>
    <t>IKEMAN2684_Medal_225</t>
  </si>
  <si>
    <t>IKEMAN2684_Medal_226</t>
  </si>
  <si>
    <t>IKEMAN2684_Medal_227</t>
  </si>
  <si>
    <t>IKEMAN2684_Medal_228</t>
  </si>
  <si>
    <t>IKEMAN2684_Medal_229</t>
  </si>
  <si>
    <t>IKEMAN2684_Medal_230</t>
  </si>
  <si>
    <t>IKEMAN2684_Medal_231</t>
  </si>
  <si>
    <t>IKEMAN2684_Medal_232</t>
  </si>
  <si>
    <t>IKEMAN2684_Medal_233</t>
  </si>
  <si>
    <t>IKEMAN2684_Medal_234</t>
  </si>
  <si>
    <t>IKEMAN2684_Medal_235</t>
  </si>
  <si>
    <t>IKEMAN2684_Medal_236</t>
  </si>
  <si>
    <t>IKEMAN2684_Medal_237</t>
  </si>
  <si>
    <t>IKEMAN2684_Medal_238</t>
  </si>
  <si>
    <t>IKEMAN2684_Medal_239</t>
  </si>
  <si>
    <t>IKEMAN2684_Medal_240</t>
  </si>
  <si>
    <t>IKEMAN2684_Medal_241</t>
  </si>
  <si>
    <t>IKEMAN2684_Medal_242</t>
  </si>
  <si>
    <t>IKEMAN2684_Medal_243</t>
  </si>
  <si>
    <t>IKEMAN2684_Medal_244</t>
  </si>
  <si>
    <t>IKEMAN2684_Medal_245</t>
  </si>
  <si>
    <t>IKEMAN2684_Medal_246</t>
  </si>
  <si>
    <t>IKEMAN2684_Medal_247</t>
  </si>
  <si>
    <t>IKEMAN2684_Medal_248</t>
  </si>
  <si>
    <t>IKEMAN2684_Medal_249</t>
  </si>
  <si>
    <t>IKEMAN2684_Medal_250</t>
  </si>
  <si>
    <t>IKEMAN2684_Medal_251</t>
  </si>
  <si>
    <t>IKEMAN2684_Medal_252</t>
  </si>
  <si>
    <t>IKEMAN2684_Medal_253</t>
  </si>
  <si>
    <t>IKEMAN2684_Medal_254</t>
  </si>
  <si>
    <t>IKEMAN2684_Medal_255</t>
  </si>
  <si>
    <t>IKEMAN2684_Medal_256</t>
  </si>
  <si>
    <t>IKEMAN2684_Medal_257</t>
  </si>
  <si>
    <t>IKEMAN2684_Medal_258</t>
  </si>
  <si>
    <t>IKEMAN2684_Medal_259</t>
  </si>
  <si>
    <t>IKEMAN2684_Medal_260</t>
  </si>
  <si>
    <t>IKEMAN2684_Medal_261</t>
  </si>
  <si>
    <t>IKEMAN2684_Medal_262</t>
  </si>
  <si>
    <t>IKEMAN2684_Medal_263</t>
  </si>
  <si>
    <t>IKEMAN2684_Medal_264</t>
  </si>
  <si>
    <t>IKEMAN2684_Medal_265</t>
  </si>
  <si>
    <t>IKEMAN2684_Sniper Kill</t>
  </si>
  <si>
    <t>IKEMAN2684_Medal_267</t>
  </si>
  <si>
    <t>IKEMAN2684_Medal_268</t>
  </si>
  <si>
    <t>IKEMAN2684_Medal_269</t>
  </si>
  <si>
    <t>IKEMAN2684_Medal_270</t>
  </si>
  <si>
    <t>IKEMAN2684_Medal_271</t>
  </si>
  <si>
    <t>IKEMAN2684_Medal_272</t>
  </si>
  <si>
    <t>IKEMAN2684_Medal_273</t>
  </si>
  <si>
    <t>IKEMAN2684_Medal_274</t>
  </si>
  <si>
    <t>IKEMAN2684_Medal_275</t>
  </si>
  <si>
    <t>IKEMAN2684_Medal_276</t>
  </si>
  <si>
    <t>IKEMAN2684_Medal_277</t>
  </si>
  <si>
    <t>IKEMAN2684_Medal_278</t>
  </si>
  <si>
    <t>IKEMAN2684_Medal_279</t>
  </si>
  <si>
    <t>IKEMAN2684_Medal_280</t>
  </si>
  <si>
    <t>IKEMAN2684_Medal_281</t>
  </si>
  <si>
    <t>IKEMAN2684_Medal_282</t>
  </si>
  <si>
    <t>IKEMAN2684_Medal_283</t>
  </si>
  <si>
    <t>IKEMAN2684_Medal_284</t>
  </si>
  <si>
    <t>IKEMAN2684_Medal_285</t>
  </si>
  <si>
    <t>IKEMAN2684_Medal_286</t>
  </si>
  <si>
    <t>IKEMAN2684_Medal_287</t>
  </si>
  <si>
    <t>IKEMAN2684_Medal_288</t>
  </si>
  <si>
    <t>IKEMAN2684_Medal_289</t>
  </si>
  <si>
    <t>IKEMAN2684_Medal_290</t>
  </si>
  <si>
    <t>IKEMAN2684_Medal_291</t>
  </si>
  <si>
    <t>IKEMAN2684_Medal_292</t>
  </si>
  <si>
    <t>IKEMAN2684_Medal_293</t>
  </si>
  <si>
    <t>IKEMAN2684_Medal_294</t>
  </si>
  <si>
    <t>IKEMAN2684_Medal_295</t>
  </si>
  <si>
    <t>IKEMAN2684_Medal_296</t>
  </si>
  <si>
    <t>IKEMAN2684_Medal_297</t>
  </si>
  <si>
    <t>IKEMAN2684_Medal_298</t>
  </si>
  <si>
    <t>IKEMAN2684_Medal_299</t>
  </si>
  <si>
    <t>IKEMAN2684_Medal_300</t>
  </si>
  <si>
    <t>IKEMAN2684_Medal_301</t>
  </si>
  <si>
    <t>IKEMAN2684_Medal_302</t>
  </si>
  <si>
    <t>IKEMAN2684_Medal_303</t>
  </si>
  <si>
    <t>IKEMAN2684_Medal_304</t>
  </si>
  <si>
    <t>IKEMAN2684_Medal_305</t>
  </si>
  <si>
    <t>IKEMAN2684_Medal_306</t>
  </si>
  <si>
    <t>IKEMAN2684_Medal_307</t>
  </si>
  <si>
    <t>IKEMAN2684_Medal_308</t>
  </si>
  <si>
    <t>IKEMAN2684_Medal_309</t>
  </si>
  <si>
    <t>IKEMAN2684_Medal_310</t>
  </si>
  <si>
    <t>IKEMAN2684_Medal_311</t>
  </si>
  <si>
    <t>IKEMAN2684_Medal_312</t>
  </si>
  <si>
    <t>IKEMAN2684_Medal_313</t>
  </si>
  <si>
    <t>IKEMAN2684_Medal_314</t>
  </si>
  <si>
    <t>IKEMAN2684_Medal_315</t>
  </si>
  <si>
    <t>IKEMAN2684_Medal_316</t>
  </si>
  <si>
    <t>IKEMAN2684_Medal_317</t>
  </si>
  <si>
    <t>IKEMAN2684_Medal_318</t>
  </si>
  <si>
    <t>IKEMAN2684_Medal_319</t>
  </si>
  <si>
    <t>IKEMAN2684_Medal_320</t>
  </si>
  <si>
    <t>IKEMAN2684_Medal_321</t>
  </si>
  <si>
    <t>IKEMAN2684_Medal_322</t>
  </si>
  <si>
    <t>IKEMAN2684_Medal_323</t>
  </si>
  <si>
    <t>IKEMAN2684_Medal_324</t>
  </si>
  <si>
    <t>IKEMAN2684_Medal_325</t>
  </si>
  <si>
    <t>IKEMAN2684_Medal_326</t>
  </si>
  <si>
    <t>IKEMAN2684_Medal_327</t>
  </si>
  <si>
    <t>IKEMAN2684_Medal_328</t>
  </si>
  <si>
    <t>IKEMAN2684_Medal_329</t>
  </si>
  <si>
    <t>IKEMAN2684_Medal_330</t>
  </si>
  <si>
    <t>IKEMAN2684_Medal_331</t>
  </si>
  <si>
    <t>IKEMAN2684_Medal_332</t>
  </si>
  <si>
    <t>IKEMAN2684_Medal_333</t>
  </si>
  <si>
    <t>IKEMAN2684_Medal_334</t>
  </si>
  <si>
    <t>IKEMAN2684_Medal_335</t>
  </si>
  <si>
    <t>IKEMAN2684_Medal_336</t>
  </si>
  <si>
    <t>IKEMAN2684_Medal_337</t>
  </si>
  <si>
    <t>IKEMAN2684_Medal_338</t>
  </si>
  <si>
    <t>IKEMAN2684_Medal_339</t>
  </si>
  <si>
    <t>IKEMAN2684_Medal_340</t>
  </si>
  <si>
    <t>IKEMAN2684_Medal_341</t>
  </si>
  <si>
    <t>IKEMAN2684_Medal_342</t>
  </si>
  <si>
    <t>IKEMAN2684_Medal_343</t>
  </si>
  <si>
    <t>IKEMAN2684_Medal_344</t>
  </si>
  <si>
    <t>IKEMAN2684_Medal_345</t>
  </si>
  <si>
    <t>IKEMAN2684_Medal_346</t>
  </si>
  <si>
    <t>IKEMAN2684_Medal_347</t>
  </si>
  <si>
    <t>IKEMAN2684_Medal_348</t>
  </si>
  <si>
    <t>IKEMAN2684_Medal_349</t>
  </si>
  <si>
    <t>IKEMAN2684_Medal_350</t>
  </si>
  <si>
    <t>IKEMAN2684_Medal_351</t>
  </si>
  <si>
    <t>IKEMAN2684_Medal_352</t>
  </si>
  <si>
    <t>IKEMAN2684_Medal_353</t>
  </si>
  <si>
    <t>IKEMAN2684_Medal_354</t>
  </si>
  <si>
    <t>IKEMAN2684_Medal_355</t>
  </si>
  <si>
    <t>IKEMAN2684_Medal_356</t>
  </si>
  <si>
    <t>IKEMAN2684_Medal_357</t>
  </si>
  <si>
    <t>IKEMAN2684_Medal_358</t>
  </si>
  <si>
    <t>IKEMAN2684_Medal_359</t>
  </si>
  <si>
    <t>IKEMAN2684_Medal_360</t>
  </si>
  <si>
    <t>IKEMAN2684_Medal_361</t>
  </si>
  <si>
    <t>IKEMAN2684_Medal_362</t>
  </si>
  <si>
    <t>IKEMAN2684_Medal_363</t>
  </si>
  <si>
    <t>IKEMAN2684_Medal_364</t>
  </si>
  <si>
    <t>IKEMAN2684_Medal_365</t>
  </si>
  <si>
    <t>IKEMAN2684_Medal_366</t>
  </si>
  <si>
    <t>IKEMAN2684_Medal_367</t>
  </si>
  <si>
    <t>IKEMAN2684_Medal_368</t>
  </si>
  <si>
    <t>IKEMAN2684_Medal_369</t>
  </si>
  <si>
    <t>IKEMAN2684_Medal_370</t>
  </si>
  <si>
    <t>IKEMAN2684_Medal_371</t>
  </si>
  <si>
    <t>IKEMAN2684_Medal_372</t>
  </si>
  <si>
    <t>IKEMAN2684_Medal_373</t>
  </si>
  <si>
    <t>IKEMAN2684_Medal_374</t>
  </si>
  <si>
    <t>IKEMAN2684_Medal_375</t>
  </si>
  <si>
    <t>IKEMAN2684_Medal_376</t>
  </si>
  <si>
    <t>IKEMAN2684_Medal_377</t>
  </si>
  <si>
    <t>IKEMAN2684_Medal_378</t>
  </si>
  <si>
    <t>IKEMAN2684_Medal_379</t>
  </si>
  <si>
    <t>IKEMAN2684_Medal_380</t>
  </si>
  <si>
    <t>IKEMAN2684_Medal_381</t>
  </si>
  <si>
    <t>IKEMAN2684_Medal_382</t>
  </si>
  <si>
    <t>IKEMAN2684_Medal_383</t>
  </si>
  <si>
    <t>walsh696969_Team</t>
  </si>
  <si>
    <t>walsh696969_Score</t>
  </si>
  <si>
    <t>walsh696969_Kills</t>
  </si>
  <si>
    <t>walsh696969_Deaths</t>
  </si>
  <si>
    <t>walsh696969_Assists</t>
  </si>
  <si>
    <t>walsh696969_Betrayals</t>
  </si>
  <si>
    <t>walsh696969_Suicides</t>
  </si>
  <si>
    <t>walsh696969_WeaponKills</t>
  </si>
  <si>
    <t>walsh696969_GrenadeKills</t>
  </si>
  <si>
    <t>walsh696969_MeleeKills</t>
  </si>
  <si>
    <t>walsh696969_OtherKills</t>
  </si>
  <si>
    <t>walsh696969_SecondsAlive</t>
  </si>
  <si>
    <t>walsh696969_SecondsPlayed</t>
  </si>
  <si>
    <t>walsh696969_Standing</t>
  </si>
  <si>
    <t>walsh696969_TotalMedalCount</t>
  </si>
  <si>
    <t>walsh696969_MostKillsInARow</t>
  </si>
  <si>
    <t>walsh696969_KilledMostPlayer</t>
  </si>
  <si>
    <t>walsh696969_KilledMostPlayerCount</t>
  </si>
  <si>
    <t>walsh696969_MostKilledByPlayer</t>
  </si>
  <si>
    <t>walsh696969_MostKilledByPlayerCount</t>
  </si>
  <si>
    <t>walsh696969_MostUsedWeapon</t>
  </si>
  <si>
    <t>walsh696969_MostUsedWeaponCount</t>
  </si>
  <si>
    <t>walsh696969_OddballTime</t>
  </si>
  <si>
    <t>walsh696969_HillTime</t>
  </si>
  <si>
    <t>walsh696969_CamoKills</t>
  </si>
  <si>
    <t>walsh696969_GrenadeSticks</t>
  </si>
  <si>
    <t>walsh696969_FlagScores</t>
  </si>
  <si>
    <t>walsh696969_FlagGrabs</t>
  </si>
  <si>
    <t>walsh696969_BombScores</t>
  </si>
  <si>
    <t>walsh696969_BombGrabs</t>
  </si>
  <si>
    <t>walsh696969_KDR</t>
  </si>
  <si>
    <t>walsh696969_Medal_0</t>
  </si>
  <si>
    <t>walsh696969_Medal_1</t>
  </si>
  <si>
    <t>walsh696969_Medal_2</t>
  </si>
  <si>
    <t>walsh696969_Medal_3</t>
  </si>
  <si>
    <t>walsh696969_Medal_4</t>
  </si>
  <si>
    <t>walsh696969_Medal_5</t>
  </si>
  <si>
    <t>walsh696969_Medal_6</t>
  </si>
  <si>
    <t>walsh696969_Medal_7</t>
  </si>
  <si>
    <t>walsh696969_Assist</t>
  </si>
  <si>
    <t>walsh696969_Avenger</t>
  </si>
  <si>
    <t>walsh696969_Medal_10</t>
  </si>
  <si>
    <t>walsh696969_Medal_11</t>
  </si>
  <si>
    <t>walsh696969_Medal_12</t>
  </si>
  <si>
    <t>walsh696969_Medal_13</t>
  </si>
  <si>
    <t>walsh696969_Medal_14</t>
  </si>
  <si>
    <t>walsh696969_Medal_15</t>
  </si>
  <si>
    <t>walsh696969_Medal_16</t>
  </si>
  <si>
    <t>walsh696969_Medal_17</t>
  </si>
  <si>
    <t>walsh696969_Medal_18</t>
  </si>
  <si>
    <t>walsh696969_Medal_19</t>
  </si>
  <si>
    <t>walsh696969_Medal_20</t>
  </si>
  <si>
    <t>walsh696969_Medal_21</t>
  </si>
  <si>
    <t>walsh696969_Medal_22</t>
  </si>
  <si>
    <t>walsh696969_Medal_23</t>
  </si>
  <si>
    <t>walsh696969_Medal_24</t>
  </si>
  <si>
    <t>walsh696969_Medal_25</t>
  </si>
  <si>
    <t>walsh696969_Medal_26</t>
  </si>
  <si>
    <t>walsh696969_Medal_27</t>
  </si>
  <si>
    <t>walsh696969_Medal_28</t>
  </si>
  <si>
    <t>walsh696969_Medal_29</t>
  </si>
  <si>
    <t>walsh696969_Medal_30</t>
  </si>
  <si>
    <t>walsh696969_Medal_31</t>
  </si>
  <si>
    <t>walsh696969_Medal_32</t>
  </si>
  <si>
    <t>walsh696969_Medal_33</t>
  </si>
  <si>
    <t>walsh696969_Medal_34</t>
  </si>
  <si>
    <t>walsh696969_Medal_35</t>
  </si>
  <si>
    <t>walsh696969_Medal_36</t>
  </si>
  <si>
    <t>walsh696969_Medal_37</t>
  </si>
  <si>
    <t>walsh696969_Medal_38</t>
  </si>
  <si>
    <t>walsh696969_Medal_39</t>
  </si>
  <si>
    <t>walsh696969_Medal_40</t>
  </si>
  <si>
    <t>walsh696969_Medal_41</t>
  </si>
  <si>
    <t>walsh696969_Medal_42</t>
  </si>
  <si>
    <t>walsh696969_Medal_43</t>
  </si>
  <si>
    <t>walsh696969_Medal_44</t>
  </si>
  <si>
    <t>walsh696969_Medal_45</t>
  </si>
  <si>
    <t>walsh696969_Medal_46</t>
  </si>
  <si>
    <t>walsh696969_Medal_47</t>
  </si>
  <si>
    <t>walsh696969_Medal_48</t>
  </si>
  <si>
    <t>walsh696969_Medal_49</t>
  </si>
  <si>
    <t>walsh696969_Medal_50</t>
  </si>
  <si>
    <t>walsh696969_Medal_51</t>
  </si>
  <si>
    <t>walsh696969_Medal_52</t>
  </si>
  <si>
    <t>walsh696969_Medal_53</t>
  </si>
  <si>
    <t>walsh696969_Close Call</t>
  </si>
  <si>
    <t>walsh696969_Comeback Kill</t>
  </si>
  <si>
    <t>walsh696969_Medal_56</t>
  </si>
  <si>
    <t>walsh696969_Medal_57</t>
  </si>
  <si>
    <t>walsh696969_Medal_58</t>
  </si>
  <si>
    <t>walsh696969_Medal_59</t>
  </si>
  <si>
    <t>walsh696969_Medal_60</t>
  </si>
  <si>
    <t>walsh696969_Medal_61</t>
  </si>
  <si>
    <t>walsh696969_Double Kill</t>
  </si>
  <si>
    <t>walsh696969_Medal_63</t>
  </si>
  <si>
    <t>walsh696969_Medal_64</t>
  </si>
  <si>
    <t>walsh696969_Medal_65</t>
  </si>
  <si>
    <t>walsh696969_Medal_66</t>
  </si>
  <si>
    <t>walsh696969_Medal_67</t>
  </si>
  <si>
    <t>walsh696969_Medal_68</t>
  </si>
  <si>
    <t>walsh696969_Medal_69</t>
  </si>
  <si>
    <t>walsh696969_Medal_70</t>
  </si>
  <si>
    <t>walsh696969_Medal_71</t>
  </si>
  <si>
    <t>walsh696969_Medal_72</t>
  </si>
  <si>
    <t>walsh696969_Medal_73</t>
  </si>
  <si>
    <t>walsh696969_First Strike</t>
  </si>
  <si>
    <t>walsh696969_Medal_75</t>
  </si>
  <si>
    <t>walsh696969_Medal_76</t>
  </si>
  <si>
    <t>walsh696969_Medal_77</t>
  </si>
  <si>
    <t>walsh696969_Medal_78</t>
  </si>
  <si>
    <t>walsh696969_Medal_79</t>
  </si>
  <si>
    <t>walsh696969_Medal_80</t>
  </si>
  <si>
    <t>walsh696969_Medal_81</t>
  </si>
  <si>
    <t>walsh696969_Medal_82</t>
  </si>
  <si>
    <t>walsh696969_Medal_83</t>
  </si>
  <si>
    <t>walsh696969_Medal_84</t>
  </si>
  <si>
    <t>walsh696969_Medal_85</t>
  </si>
  <si>
    <t>walsh696969_Medal_86</t>
  </si>
  <si>
    <t>walsh696969_Medal_87</t>
  </si>
  <si>
    <t>walsh696969_Medal_88</t>
  </si>
  <si>
    <t>walsh696969_Medal_89</t>
  </si>
  <si>
    <t>walsh696969_Medal_90</t>
  </si>
  <si>
    <t>walsh696969_Medal_91</t>
  </si>
  <si>
    <t>walsh696969_Medal_92</t>
  </si>
  <si>
    <t>walsh696969_Medal_93</t>
  </si>
  <si>
    <t>walsh696969_Medal_94</t>
  </si>
  <si>
    <t>walsh696969_Medal_95</t>
  </si>
  <si>
    <t>walsh696969_Medal_96</t>
  </si>
  <si>
    <t>walsh696969_Medal_97</t>
  </si>
  <si>
    <t>walsh696969_Medal_98</t>
  </si>
  <si>
    <t>walsh696969_Medal_99</t>
  </si>
  <si>
    <t>walsh696969_Medal_100</t>
  </si>
  <si>
    <t>walsh696969_Medal_101</t>
  </si>
  <si>
    <t>walsh696969_Medal_102</t>
  </si>
  <si>
    <t>walsh696969_Medal_103</t>
  </si>
  <si>
    <t>walsh696969_Grenade Kill</t>
  </si>
  <si>
    <t>walsh696969_Medal_105</t>
  </si>
  <si>
    <t>walsh696969_Medal_106</t>
  </si>
  <si>
    <t>walsh696969_Medal_107</t>
  </si>
  <si>
    <t>walsh696969_Medal_108</t>
  </si>
  <si>
    <t>walsh696969_Medal_109</t>
  </si>
  <si>
    <t>walsh696969_Medal_110</t>
  </si>
  <si>
    <t>walsh696969_Headshot</t>
  </si>
  <si>
    <t>walsh696969_Medal_112</t>
  </si>
  <si>
    <t>walsh696969_Medal_113</t>
  </si>
  <si>
    <t>walsh696969_Medal_114</t>
  </si>
  <si>
    <t>walsh696969_Medal_115</t>
  </si>
  <si>
    <t>walsh696969_Medal_116</t>
  </si>
  <si>
    <t>walsh696969_Medal_117</t>
  </si>
  <si>
    <t>walsh696969_Medal_118</t>
  </si>
  <si>
    <t>walsh696969_Medal_119</t>
  </si>
  <si>
    <t>walsh696969_Medal_120</t>
  </si>
  <si>
    <t>walsh696969_Medal_121</t>
  </si>
  <si>
    <t>walsh696969_Medal_122</t>
  </si>
  <si>
    <t>walsh696969_Medal_123</t>
  </si>
  <si>
    <t>walsh696969_Medal_124</t>
  </si>
  <si>
    <t>walsh696969_Medal_125</t>
  </si>
  <si>
    <t>walsh696969_Medal_126</t>
  </si>
  <si>
    <t>walsh696969_Medal_127</t>
  </si>
  <si>
    <t>walsh696969_Medal_128</t>
  </si>
  <si>
    <t>walsh696969_Kill</t>
  </si>
  <si>
    <t>walsh696969_Kill from the Grave</t>
  </si>
  <si>
    <t>walsh696969_Medal_131</t>
  </si>
  <si>
    <t>walsh696969_Medal_132</t>
  </si>
  <si>
    <t>walsh696969_Medal_133</t>
  </si>
  <si>
    <t>walsh696969_Medal_134</t>
  </si>
  <si>
    <t>walsh696969_Killing Frenzy</t>
  </si>
  <si>
    <t>walsh696969_Killing Spree</t>
  </si>
  <si>
    <t>walsh696969_Medal_137</t>
  </si>
  <si>
    <t>walsh696969_Killjoy</t>
  </si>
  <si>
    <t>walsh696969_Medal_139</t>
  </si>
  <si>
    <t>walsh696969_Medal_140</t>
  </si>
  <si>
    <t>walsh696969_Medal_141</t>
  </si>
  <si>
    <t>walsh696969_Medal_142</t>
  </si>
  <si>
    <t>walsh696969_Medal_143</t>
  </si>
  <si>
    <t>walsh696969_Medal_144</t>
  </si>
  <si>
    <t>walsh696969_Medal_145</t>
  </si>
  <si>
    <t>walsh696969_Medal_146</t>
  </si>
  <si>
    <t>walsh696969_Medal_147</t>
  </si>
  <si>
    <t>walsh696969_Medal_148</t>
  </si>
  <si>
    <t>walsh696969_Medal_149</t>
  </si>
  <si>
    <t>walsh696969_Medal_150</t>
  </si>
  <si>
    <t>walsh696969_Last Strike</t>
  </si>
  <si>
    <t>walsh696969_Medal_152</t>
  </si>
  <si>
    <t>walsh696969_Medal_153</t>
  </si>
  <si>
    <t>walsh696969_Medal_154</t>
  </si>
  <si>
    <t>walsh696969_Medal_155</t>
  </si>
  <si>
    <t>walsh696969_Melee Kill</t>
  </si>
  <si>
    <t>walsh696969_Medal_157</t>
  </si>
  <si>
    <t>walsh696969_Medal_158</t>
  </si>
  <si>
    <t>walsh696969_Medal_159</t>
  </si>
  <si>
    <t>walsh696969_Medal_160</t>
  </si>
  <si>
    <t>walsh696969_Medal_161</t>
  </si>
  <si>
    <t>walsh696969_Medal_162</t>
  </si>
  <si>
    <t>walsh696969_Medal_163</t>
  </si>
  <si>
    <t>walsh696969_Medal_164</t>
  </si>
  <si>
    <t>walsh696969_Medal_165</t>
  </si>
  <si>
    <t>walsh696969_Medal_166</t>
  </si>
  <si>
    <t>walsh696969_Medal_167</t>
  </si>
  <si>
    <t>walsh696969_Medal_168</t>
  </si>
  <si>
    <t>walsh696969_Medal_169</t>
  </si>
  <si>
    <t>walsh696969_Medal_170</t>
  </si>
  <si>
    <t>walsh696969_Protector</t>
  </si>
  <si>
    <t>walsh696969_Medal_172</t>
  </si>
  <si>
    <t>walsh696969_Medal_173</t>
  </si>
  <si>
    <t>walsh696969_Medal_174</t>
  </si>
  <si>
    <t>walsh696969_Medal_175</t>
  </si>
  <si>
    <t>walsh696969_Medal_176</t>
  </si>
  <si>
    <t>walsh696969_Medal_177</t>
  </si>
  <si>
    <t>walsh696969_Medal_178</t>
  </si>
  <si>
    <t>walsh696969_Medal_179</t>
  </si>
  <si>
    <t>walsh696969_Reload This</t>
  </si>
  <si>
    <t>walsh696969_Medal_181</t>
  </si>
  <si>
    <t>walsh696969_Medal_182</t>
  </si>
  <si>
    <t>walsh696969_Medal_183</t>
  </si>
  <si>
    <t>walsh696969_Revenge</t>
  </si>
  <si>
    <t>walsh696969_Medal_185</t>
  </si>
  <si>
    <t>walsh696969_Medal_186</t>
  </si>
  <si>
    <t>walsh696969_Rocket Kill</t>
  </si>
  <si>
    <t>walsh696969_Medal_188</t>
  </si>
  <si>
    <t>walsh696969_Medal_189</t>
  </si>
  <si>
    <t>walsh696969_Medal_190</t>
  </si>
  <si>
    <t>walsh696969_Medal_191</t>
  </si>
  <si>
    <t>walsh696969_Medal_192</t>
  </si>
  <si>
    <t>walsh696969_Medal_193</t>
  </si>
  <si>
    <t>walsh696969_Medal_194</t>
  </si>
  <si>
    <t>walsh696969_Medal_195</t>
  </si>
  <si>
    <t>walsh696969_Sentinel Beam Kill</t>
  </si>
  <si>
    <t>walsh696969_Medal_197</t>
  </si>
  <si>
    <t>walsh696969_Medal_198</t>
  </si>
  <si>
    <t>walsh696969_Medal_199</t>
  </si>
  <si>
    <t>walsh696969_Medal_200</t>
  </si>
  <si>
    <t>walsh696969_Medal_201</t>
  </si>
  <si>
    <t>walsh696969_Medal_202</t>
  </si>
  <si>
    <t>walsh696969_Medal_203</t>
  </si>
  <si>
    <t>walsh696969_Medal_204</t>
  </si>
  <si>
    <t>walsh696969_Medal_205</t>
  </si>
  <si>
    <t>walsh696969_Medal_206</t>
  </si>
  <si>
    <t>walsh696969_Medal_207</t>
  </si>
  <si>
    <t>walsh696969_Snapshot</t>
  </si>
  <si>
    <t>walsh696969_Medal_209</t>
  </si>
  <si>
    <t>walsh696969_Sniper Spree</t>
  </si>
  <si>
    <t>walsh696969_Medal_211</t>
  </si>
  <si>
    <t>walsh696969_Medal_212</t>
  </si>
  <si>
    <t>walsh696969_Medal_213</t>
  </si>
  <si>
    <t>walsh696969_Medal_214</t>
  </si>
  <si>
    <t>walsh696969_Medal_215</t>
  </si>
  <si>
    <t>walsh696969_Medal_216</t>
  </si>
  <si>
    <t>walsh696969_Medal_217</t>
  </si>
  <si>
    <t>walsh696969_Medal_218</t>
  </si>
  <si>
    <t>walsh696969_Medal_219</t>
  </si>
  <si>
    <t>walsh696969_Medal_220</t>
  </si>
  <si>
    <t>walsh696969_Medal_221</t>
  </si>
  <si>
    <t>walsh696969_Medal_222</t>
  </si>
  <si>
    <t>walsh696969_Triple Double</t>
  </si>
  <si>
    <t>walsh696969_Medal_224</t>
  </si>
  <si>
    <t>walsh696969_Medal_225</t>
  </si>
  <si>
    <t>walsh696969_Medal_226</t>
  </si>
  <si>
    <t>walsh696969_Medal_227</t>
  </si>
  <si>
    <t>walsh696969_Medal_228</t>
  </si>
  <si>
    <t>walsh696969_Medal_229</t>
  </si>
  <si>
    <t>walsh696969_Medal_230</t>
  </si>
  <si>
    <t>walsh696969_Medal_231</t>
  </si>
  <si>
    <t>walsh696969_Medal_232</t>
  </si>
  <si>
    <t>walsh696969_Medal_233</t>
  </si>
  <si>
    <t>walsh696969_Medal_234</t>
  </si>
  <si>
    <t>walsh696969_Medal_235</t>
  </si>
  <si>
    <t>walsh696969_Medal_236</t>
  </si>
  <si>
    <t>walsh696969_Medal_237</t>
  </si>
  <si>
    <t>walsh696969_Medal_238</t>
  </si>
  <si>
    <t>walsh696969_Medal_239</t>
  </si>
  <si>
    <t>walsh696969_Medal_240</t>
  </si>
  <si>
    <t>walsh696969_Medal_241</t>
  </si>
  <si>
    <t>walsh696969_Medal_242</t>
  </si>
  <si>
    <t>walsh696969_Medal_243</t>
  </si>
  <si>
    <t>walsh696969_Medal_244</t>
  </si>
  <si>
    <t>walsh696969_Medal_245</t>
  </si>
  <si>
    <t>walsh696969_Medal_246</t>
  </si>
  <si>
    <t>walsh696969_Medal_247</t>
  </si>
  <si>
    <t>walsh696969_Medal_248</t>
  </si>
  <si>
    <t>walsh696969_Medal_249</t>
  </si>
  <si>
    <t>walsh696969_Medal_250</t>
  </si>
  <si>
    <t>walsh696969_Medal_251</t>
  </si>
  <si>
    <t>walsh696969_Medal_252</t>
  </si>
  <si>
    <t>walsh696969_Medal_253</t>
  </si>
  <si>
    <t>walsh696969_Medal_254</t>
  </si>
  <si>
    <t>walsh696969_Medal_255</t>
  </si>
  <si>
    <t>walsh696969_Medal_256</t>
  </si>
  <si>
    <t>walsh696969_Medal_257</t>
  </si>
  <si>
    <t>walsh696969_Medal_258</t>
  </si>
  <si>
    <t>walsh696969_Medal_259</t>
  </si>
  <si>
    <t>walsh696969_Medal_260</t>
  </si>
  <si>
    <t>walsh696969_Medal_261</t>
  </si>
  <si>
    <t>walsh696969_Medal_262</t>
  </si>
  <si>
    <t>walsh696969_Medal_263</t>
  </si>
  <si>
    <t>walsh696969_Medal_264</t>
  </si>
  <si>
    <t>walsh696969_Medal_265</t>
  </si>
  <si>
    <t>walsh696969_Sniper Kill</t>
  </si>
  <si>
    <t>walsh696969_Medal_267</t>
  </si>
  <si>
    <t>walsh696969_Medal_268</t>
  </si>
  <si>
    <t>walsh696969_Medal_269</t>
  </si>
  <si>
    <t>walsh696969_Medal_270</t>
  </si>
  <si>
    <t>walsh696969_Medal_271</t>
  </si>
  <si>
    <t>walsh696969_Medal_272</t>
  </si>
  <si>
    <t>walsh696969_Medal_273</t>
  </si>
  <si>
    <t>walsh696969_Medal_274</t>
  </si>
  <si>
    <t>walsh696969_Medal_275</t>
  </si>
  <si>
    <t>walsh696969_Medal_276</t>
  </si>
  <si>
    <t>walsh696969_Medal_277</t>
  </si>
  <si>
    <t>walsh696969_Medal_278</t>
  </si>
  <si>
    <t>walsh696969_Medal_279</t>
  </si>
  <si>
    <t>walsh696969_Medal_280</t>
  </si>
  <si>
    <t>walsh696969_Medal_281</t>
  </si>
  <si>
    <t>walsh696969_Medal_282</t>
  </si>
  <si>
    <t>walsh696969_Medal_283</t>
  </si>
  <si>
    <t>walsh696969_Medal_284</t>
  </si>
  <si>
    <t>walsh696969_Medal_285</t>
  </si>
  <si>
    <t>walsh696969_Medal_286</t>
  </si>
  <si>
    <t>walsh696969_Medal_287</t>
  </si>
  <si>
    <t>walsh696969_Medal_288</t>
  </si>
  <si>
    <t>walsh696969_Medal_289</t>
  </si>
  <si>
    <t>walsh696969_Medal_290</t>
  </si>
  <si>
    <t>walsh696969_Medal_291</t>
  </si>
  <si>
    <t>walsh696969_Medal_292</t>
  </si>
  <si>
    <t>walsh696969_Medal_293</t>
  </si>
  <si>
    <t>walsh696969_Medal_294</t>
  </si>
  <si>
    <t>walsh696969_Medal_295</t>
  </si>
  <si>
    <t>walsh696969_Medal_296</t>
  </si>
  <si>
    <t>walsh696969_Medal_297</t>
  </si>
  <si>
    <t>walsh696969_Medal_298</t>
  </si>
  <si>
    <t>walsh696969_Medal_299</t>
  </si>
  <si>
    <t>walsh696969_Medal_300</t>
  </si>
  <si>
    <t>walsh696969_Medal_301</t>
  </si>
  <si>
    <t>walsh696969_Medal_302</t>
  </si>
  <si>
    <t>walsh696969_Medal_303</t>
  </si>
  <si>
    <t>walsh696969_Medal_304</t>
  </si>
  <si>
    <t>walsh696969_Medal_305</t>
  </si>
  <si>
    <t>walsh696969_Medal_306</t>
  </si>
  <si>
    <t>walsh696969_Medal_307</t>
  </si>
  <si>
    <t>walsh696969_Medal_308</t>
  </si>
  <si>
    <t>walsh696969_Medal_309</t>
  </si>
  <si>
    <t>walsh696969_Medal_310</t>
  </si>
  <si>
    <t>walsh696969_Medal_311</t>
  </si>
  <si>
    <t>walsh696969_Medal_312</t>
  </si>
  <si>
    <t>walsh696969_Medal_313</t>
  </si>
  <si>
    <t>walsh696969_Medal_314</t>
  </si>
  <si>
    <t>walsh696969_Medal_315</t>
  </si>
  <si>
    <t>walsh696969_Medal_316</t>
  </si>
  <si>
    <t>walsh696969_Medal_317</t>
  </si>
  <si>
    <t>walsh696969_Medal_318</t>
  </si>
  <si>
    <t>walsh696969_Medal_319</t>
  </si>
  <si>
    <t>walsh696969_Medal_320</t>
  </si>
  <si>
    <t>walsh696969_Medal_321</t>
  </si>
  <si>
    <t>walsh696969_Medal_322</t>
  </si>
  <si>
    <t>walsh696969_Medal_323</t>
  </si>
  <si>
    <t>walsh696969_Medal_324</t>
  </si>
  <si>
    <t>walsh696969_Medal_325</t>
  </si>
  <si>
    <t>walsh696969_Medal_326</t>
  </si>
  <si>
    <t>walsh696969_Medal_327</t>
  </si>
  <si>
    <t>walsh696969_Medal_328</t>
  </si>
  <si>
    <t>walsh696969_Medal_329</t>
  </si>
  <si>
    <t>walsh696969_Medal_330</t>
  </si>
  <si>
    <t>walsh696969_Medal_331</t>
  </si>
  <si>
    <t>walsh696969_Medal_332</t>
  </si>
  <si>
    <t>walsh696969_Medal_333</t>
  </si>
  <si>
    <t>walsh696969_Medal_334</t>
  </si>
  <si>
    <t>walsh696969_Medal_335</t>
  </si>
  <si>
    <t>walsh696969_Medal_336</t>
  </si>
  <si>
    <t>walsh696969_Medal_337</t>
  </si>
  <si>
    <t>walsh696969_Medal_338</t>
  </si>
  <si>
    <t>walsh696969_Medal_339</t>
  </si>
  <si>
    <t>walsh696969_Medal_340</t>
  </si>
  <si>
    <t>walsh696969_Medal_341</t>
  </si>
  <si>
    <t>walsh696969_Medal_342</t>
  </si>
  <si>
    <t>walsh696969_Medal_343</t>
  </si>
  <si>
    <t>walsh696969_Medal_344</t>
  </si>
  <si>
    <t>walsh696969_Medal_345</t>
  </si>
  <si>
    <t>walsh696969_Medal_346</t>
  </si>
  <si>
    <t>walsh696969_Medal_347</t>
  </si>
  <si>
    <t>walsh696969_Medal_348</t>
  </si>
  <si>
    <t>walsh696969_Medal_349</t>
  </si>
  <si>
    <t>walsh696969_Medal_350</t>
  </si>
  <si>
    <t>walsh696969_Medal_351</t>
  </si>
  <si>
    <t>walsh696969_Medal_352</t>
  </si>
  <si>
    <t>walsh696969_Medal_353</t>
  </si>
  <si>
    <t>walsh696969_Medal_354</t>
  </si>
  <si>
    <t>walsh696969_Medal_355</t>
  </si>
  <si>
    <t>walsh696969_Medal_356</t>
  </si>
  <si>
    <t>walsh696969_Medal_357</t>
  </si>
  <si>
    <t>walsh696969_Medal_358</t>
  </si>
  <si>
    <t>walsh696969_Medal_359</t>
  </si>
  <si>
    <t>walsh696969_Medal_360</t>
  </si>
  <si>
    <t>walsh696969_Medal_361</t>
  </si>
  <si>
    <t>walsh696969_Medal_362</t>
  </si>
  <si>
    <t>walsh696969_Medal_363</t>
  </si>
  <si>
    <t>walsh696969_Medal_364</t>
  </si>
  <si>
    <t>walsh696969_Medal_365</t>
  </si>
  <si>
    <t>walsh696969_Medal_366</t>
  </si>
  <si>
    <t>walsh696969_Medal_367</t>
  </si>
  <si>
    <t>walsh696969_Medal_368</t>
  </si>
  <si>
    <t>walsh696969_Medal_369</t>
  </si>
  <si>
    <t>walsh696969_Medal_370</t>
  </si>
  <si>
    <t>walsh696969_Medal_371</t>
  </si>
  <si>
    <t>walsh696969_Medal_372</t>
  </si>
  <si>
    <t>walsh696969_Medal_373</t>
  </si>
  <si>
    <t>walsh696969_Medal_374</t>
  </si>
  <si>
    <t>walsh696969_Medal_375</t>
  </si>
  <si>
    <t>walsh696969_Medal_376</t>
  </si>
  <si>
    <t>walsh696969_Medal_377</t>
  </si>
  <si>
    <t>walsh696969_Medal_378</t>
  </si>
  <si>
    <t>walsh696969_Medal_379</t>
  </si>
  <si>
    <t>walsh696969_Medal_380</t>
  </si>
  <si>
    <t>walsh696969_Medal_381</t>
  </si>
  <si>
    <t>walsh696969_Medal_382</t>
  </si>
  <si>
    <t>walsh696969_Medal_383</t>
  </si>
  <si>
    <t>2026-01-27-20-26-53</t>
  </si>
  <si>
    <t>IKEMAN2684</t>
  </si>
  <si>
    <t>Losing_Team</t>
  </si>
  <si>
    <t>2026-01-27-20-35-47</t>
  </si>
  <si>
    <t>2026-01-27-20-45-21</t>
  </si>
  <si>
    <t>2026-01-27-20-56-43</t>
  </si>
  <si>
    <t>BrundonDru</t>
  </si>
  <si>
    <t>2026-01-27-21-07-16</t>
  </si>
  <si>
    <t>walsh696969</t>
  </si>
  <si>
    <t>2026-01-27-21-18-34</t>
  </si>
  <si>
    <t>HDTurkie</t>
  </si>
  <si>
    <t>2026-01-27-21-28-51</t>
  </si>
  <si>
    <t>2026-01-27-21-37-51</t>
  </si>
  <si>
    <t>2026-01-27-21-46-26</t>
  </si>
  <si>
    <t>2026-01-27-21-57-02</t>
  </si>
  <si>
    <t>2026-01-27-22-05-58</t>
  </si>
  <si>
    <t>2026-01-27-22-16-10</t>
  </si>
  <si>
    <t>2026-01-27-22-23-36</t>
  </si>
  <si>
    <t>Halonite_Num_Lifetime</t>
  </si>
  <si>
    <t>Halonite_Num_Season</t>
  </si>
  <si>
    <t>2026-03-09-20-14-19</t>
  </si>
  <si>
    <t>2026-03-09-20-22-13</t>
  </si>
  <si>
    <t>2026-03-09-20-31-16</t>
  </si>
  <si>
    <t>2026-03-09-20-40-55</t>
  </si>
  <si>
    <t>2026-03-09-20-51-23</t>
  </si>
  <si>
    <t>2026-03-09-20-59-28</t>
  </si>
  <si>
    <t>2026-03-09-21-07-46</t>
  </si>
  <si>
    <t>2026-03-09-21-16-50</t>
  </si>
  <si>
    <t>2026-03-09-21-28-35</t>
  </si>
  <si>
    <t>2026-03-09-21-39-19</t>
  </si>
  <si>
    <t>2026-03-09-21-47-19</t>
  </si>
  <si>
    <t>2026-03-24-20-02-33</t>
  </si>
  <si>
    <t>2026-03-24-20-12-58</t>
  </si>
  <si>
    <t>2026-03-24-20-23-02</t>
  </si>
  <si>
    <t>2026-03-24-20-34-08</t>
  </si>
  <si>
    <t>2026-03-24-20-50-48</t>
  </si>
  <si>
    <t>2026-03-24-21-01-09</t>
  </si>
  <si>
    <t>Game_Num_Set</t>
  </si>
  <si>
    <t>2026-03-24-21-10-09</t>
  </si>
  <si>
    <t>2026-03-24-21-17-37</t>
  </si>
  <si>
    <t>2026-03-24-21-27-37</t>
  </si>
  <si>
    <t>2026-03-24-21-35-35</t>
  </si>
  <si>
    <t>2026-03-24-21-44-10</t>
  </si>
  <si>
    <t>2026-04-29-21-11-19</t>
  </si>
  <si>
    <t>2026-04-29-21-19-11</t>
  </si>
  <si>
    <t>2026-04-29-21-28-03</t>
  </si>
  <si>
    <t>2026-04-29-21-38-43</t>
  </si>
  <si>
    <t>2026-04-29-21-45-26</t>
  </si>
  <si>
    <t>2026-04-29-21-53-48</t>
  </si>
  <si>
    <t>2026-04-29-22-03-10</t>
  </si>
  <si>
    <t>2026-04-29-22-12-36</t>
  </si>
  <si>
    <t>2026-04-29-22-22-00</t>
  </si>
  <si>
    <t>2026-04-29-22-30-15</t>
  </si>
  <si>
    <t>2026-04-29-22-38-21</t>
  </si>
  <si>
    <t>2026-04-29-22-45-43</t>
  </si>
  <si>
    <t>2026-04-29-22-55-03</t>
  </si>
  <si>
    <t>Snowbound</t>
  </si>
  <si>
    <t>Sandtrap</t>
  </si>
  <si>
    <t>Cold Storage</t>
  </si>
  <si>
    <t>Standoff</t>
  </si>
  <si>
    <t>Sandbox</t>
  </si>
  <si>
    <t>Assembly</t>
  </si>
  <si>
    <t>Longshore</t>
  </si>
  <si>
    <t>Last Resort</t>
  </si>
  <si>
    <t>Foundry</t>
  </si>
  <si>
    <t>Heretic</t>
  </si>
  <si>
    <t>Guardian</t>
  </si>
  <si>
    <t>Epitaph</t>
  </si>
  <si>
    <t>Blackout</t>
  </si>
  <si>
    <t>High Ground</t>
  </si>
  <si>
    <t>The Pit</t>
  </si>
  <si>
    <t>Edge</t>
  </si>
  <si>
    <t>Avalanche</t>
  </si>
  <si>
    <t>Icebox</t>
  </si>
  <si>
    <t>Citadel</t>
  </si>
  <si>
    <t>Valhalla</t>
  </si>
  <si>
    <t>Rat's Nest</t>
  </si>
  <si>
    <t>Orbital</t>
  </si>
  <si>
    <t>Waterfall</t>
  </si>
  <si>
    <t>Isolation</t>
  </si>
  <si>
    <t>2026-05-28-20-33-32</t>
  </si>
  <si>
    <t>2026-05-28-20-41-24</t>
  </si>
  <si>
    <t>2026-05-28-20-53-03</t>
  </si>
  <si>
    <t>2026-05-28-21-00-15</t>
  </si>
  <si>
    <t>2026-05-28-21-12-09</t>
  </si>
  <si>
    <t>2026-05-28-21-20-19</t>
  </si>
  <si>
    <t>2026-05-28-21-30-24</t>
  </si>
  <si>
    <t>2026-05-28-21-39-08</t>
  </si>
  <si>
    <t>2026-05-28-21-46-52</t>
  </si>
  <si>
    <t>2026-05-28-21-55-02</t>
  </si>
  <si>
    <t>2026-05-28-22-04-25</t>
  </si>
  <si>
    <t>2026-05-28-22-14-45</t>
  </si>
  <si>
    <t>Map_Manual</t>
  </si>
  <si>
    <t>Construct</t>
  </si>
  <si>
    <t>Ghost Town</t>
  </si>
  <si>
    <t>Narrows</t>
  </si>
  <si>
    <t>2026-03-24-20-40-28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</si>
</sst>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0" borderId="0" xfId="0" applyFont="1"/>
  </cellXfs>
  <cellStyles count="1">
    <cellStyle name="Normal" xfId="0" builtinId="0"/>
  </cellStyles>
  <dxfs count="12">
    <dxf>
      <fill>
        <patternFill>
          <bgColor rgb="FFFF7EF8"/>
        </patternFill>
      </fill>
    </dxf>
    <dxf>
      <fill>
        <patternFill>
          <bgColor rgb="FFA4706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535E"/>
        </patternFill>
      </fill>
    </dxf>
    <dxf>
      <fill>
        <patternFill>
          <bgColor rgb="FFFF7EF8"/>
        </patternFill>
      </fill>
    </dxf>
    <dxf>
      <fill>
        <patternFill>
          <bgColor rgb="FFA4706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535E"/>
        </patternFill>
      </fill>
    </dxf>
  </dxfs>
  <tableStyles count="0" defaultTableStyle="TableStyleMedium2" defaultPivotStyle="PivotStyleLight16"/>
  <colors>
    <mruColors>
      <color rgb="FFFF7EF8"/>
      <color rgb="FFA4706E"/>
      <color rgb="FFFE535E"/>
      <color rgb="FFFB7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18F3-C1D6-8C4C-9489-12C6A204BDA9}">
  <dimension ref="A1:BLK62"/>
  <sheetViews>
    <sheetView tabSelected="1" workbookViewId="0">
      <pane ySplit="1" topLeftCell="A2" activePane="bottomLeft" state="frozen"/>
      <selection pane="bottomLeft" activeCell="K20" sqref="K20"/>
    </sheetView>
  </sheetViews>
  <sheetFormatPr baseColWidth="10" defaultRowHeight="16" x14ac:dyDescent="0.2"/>
  <cols>
    <col min="14" max="14" width="20.83203125" customWidth="1"/>
  </cols>
  <sheetData>
    <row r="1" spans="1:1675" s="2" customFormat="1" ht="17" thickBot="1" x14ac:dyDescent="0.25">
      <c r="A1" s="3" t="s">
        <v>1689</v>
      </c>
      <c r="B1" s="1" t="s">
        <v>0</v>
      </c>
      <c r="C1" s="1" t="s">
        <v>1688</v>
      </c>
      <c r="D1" s="1" t="s">
        <v>5</v>
      </c>
      <c r="E1" s="1" t="s">
        <v>6</v>
      </c>
      <c r="F1" s="1" t="s">
        <v>7</v>
      </c>
      <c r="G1" s="1" t="s">
        <v>1707</v>
      </c>
      <c r="H1" s="1" t="s">
        <v>4</v>
      </c>
      <c r="I1" s="1" t="s">
        <v>1</v>
      </c>
      <c r="J1" s="1" t="s">
        <v>1672</v>
      </c>
      <c r="K1" s="1" t="s">
        <v>2</v>
      </c>
      <c r="L1" s="1" t="s">
        <v>3</v>
      </c>
      <c r="M1" s="3" t="s">
        <v>1762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3" t="s">
        <v>26</v>
      </c>
      <c r="AG1" s="2" t="s">
        <v>27</v>
      </c>
      <c r="AH1" s="3" t="s">
        <v>28</v>
      </c>
      <c r="AI1" s="2" t="s">
        <v>29</v>
      </c>
      <c r="AJ1" s="3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72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87</v>
      </c>
      <c r="CP1" s="2" t="s">
        <v>88</v>
      </c>
      <c r="CQ1" s="2" t="s">
        <v>89</v>
      </c>
      <c r="CR1" s="2" t="s">
        <v>90</v>
      </c>
      <c r="CS1" s="2" t="s">
        <v>91</v>
      </c>
      <c r="CT1" s="2" t="s">
        <v>92</v>
      </c>
      <c r="CU1" s="2" t="s">
        <v>93</v>
      </c>
      <c r="CV1" s="2" t="s">
        <v>94</v>
      </c>
      <c r="CW1" s="2" t="s">
        <v>95</v>
      </c>
      <c r="CX1" s="2" t="s">
        <v>96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101</v>
      </c>
      <c r="DD1" s="2" t="s">
        <v>102</v>
      </c>
      <c r="DE1" s="2" t="s">
        <v>103</v>
      </c>
      <c r="DF1" s="2" t="s">
        <v>104</v>
      </c>
      <c r="DG1" s="2" t="s">
        <v>105</v>
      </c>
      <c r="DH1" s="2" t="s">
        <v>106</v>
      </c>
      <c r="DI1" s="2" t="s">
        <v>107</v>
      </c>
      <c r="DJ1" s="2" t="s">
        <v>108</v>
      </c>
      <c r="DK1" s="2" t="s">
        <v>109</v>
      </c>
      <c r="DL1" s="2" t="s">
        <v>110</v>
      </c>
      <c r="DM1" s="2" t="s">
        <v>111</v>
      </c>
      <c r="DN1" s="2" t="s">
        <v>112</v>
      </c>
      <c r="DO1" s="2" t="s">
        <v>113</v>
      </c>
      <c r="DP1" s="2" t="s">
        <v>114</v>
      </c>
      <c r="DQ1" s="2" t="s">
        <v>115</v>
      </c>
      <c r="DR1" s="2" t="s">
        <v>116</v>
      </c>
      <c r="DS1" s="2" t="s">
        <v>117</v>
      </c>
      <c r="DT1" s="2" t="s">
        <v>118</v>
      </c>
      <c r="DU1" s="2" t="s">
        <v>119</v>
      </c>
      <c r="DV1" s="2" t="s">
        <v>120</v>
      </c>
      <c r="DW1" s="2" t="s">
        <v>121</v>
      </c>
      <c r="DX1" s="2" t="s">
        <v>122</v>
      </c>
      <c r="DY1" s="2" t="s">
        <v>123</v>
      </c>
      <c r="DZ1" s="2" t="s">
        <v>124</v>
      </c>
      <c r="EA1" s="2" t="s">
        <v>125</v>
      </c>
      <c r="EB1" s="2" t="s">
        <v>126</v>
      </c>
      <c r="EC1" s="2" t="s">
        <v>127</v>
      </c>
      <c r="ED1" s="2" t="s">
        <v>128</v>
      </c>
      <c r="EE1" s="2" t="s">
        <v>129</v>
      </c>
      <c r="EF1" s="2" t="s">
        <v>130</v>
      </c>
      <c r="EG1" s="2" t="s">
        <v>131</v>
      </c>
      <c r="EH1" s="2" t="s">
        <v>132</v>
      </c>
      <c r="EI1" s="2" t="s">
        <v>133</v>
      </c>
      <c r="EJ1" s="2" t="s">
        <v>134</v>
      </c>
      <c r="EK1" s="2" t="s">
        <v>135</v>
      </c>
      <c r="EL1" s="2" t="s">
        <v>136</v>
      </c>
      <c r="EM1" s="2" t="s">
        <v>137</v>
      </c>
      <c r="EN1" s="2" t="s">
        <v>138</v>
      </c>
      <c r="EO1" s="2" t="s">
        <v>139</v>
      </c>
      <c r="EP1" s="2" t="s">
        <v>140</v>
      </c>
      <c r="EQ1" s="2" t="s">
        <v>141</v>
      </c>
      <c r="ER1" s="2" t="s">
        <v>142</v>
      </c>
      <c r="ES1" s="2" t="s">
        <v>143</v>
      </c>
      <c r="ET1" s="2" t="s">
        <v>144</v>
      </c>
      <c r="EU1" s="2" t="s">
        <v>145</v>
      </c>
      <c r="EV1" s="2" t="s">
        <v>146</v>
      </c>
      <c r="EW1" s="2" t="s">
        <v>147</v>
      </c>
      <c r="EX1" s="2" t="s">
        <v>148</v>
      </c>
      <c r="EY1" s="2" t="s">
        <v>149</v>
      </c>
      <c r="EZ1" s="2" t="s">
        <v>150</v>
      </c>
      <c r="FA1" s="2" t="s">
        <v>151</v>
      </c>
      <c r="FB1" s="2" t="s">
        <v>152</v>
      </c>
      <c r="FC1" s="2" t="s">
        <v>153</v>
      </c>
      <c r="FD1" s="2" t="s">
        <v>154</v>
      </c>
      <c r="FE1" s="2" t="s">
        <v>155</v>
      </c>
      <c r="FF1" s="2" t="s">
        <v>156</v>
      </c>
      <c r="FG1" s="2" t="s">
        <v>157</v>
      </c>
      <c r="FH1" s="2" t="s">
        <v>158</v>
      </c>
      <c r="FI1" s="2" t="s">
        <v>159</v>
      </c>
      <c r="FJ1" s="2" t="s">
        <v>160</v>
      </c>
      <c r="FK1" s="2" t="s">
        <v>161</v>
      </c>
      <c r="FL1" s="2" t="s">
        <v>162</v>
      </c>
      <c r="FM1" s="2" t="s">
        <v>163</v>
      </c>
      <c r="FN1" s="2" t="s">
        <v>164</v>
      </c>
      <c r="FO1" s="2" t="s">
        <v>165</v>
      </c>
      <c r="FP1" s="2" t="s">
        <v>166</v>
      </c>
      <c r="FQ1" s="2" t="s">
        <v>167</v>
      </c>
      <c r="FR1" s="2" t="s">
        <v>168</v>
      </c>
      <c r="FS1" s="2" t="s">
        <v>169</v>
      </c>
      <c r="FT1" s="2" t="s">
        <v>170</v>
      </c>
      <c r="FU1" s="2" t="s">
        <v>171</v>
      </c>
      <c r="FV1" s="2" t="s">
        <v>172</v>
      </c>
      <c r="FW1" s="2" t="s">
        <v>173</v>
      </c>
      <c r="FX1" s="2" t="s">
        <v>174</v>
      </c>
      <c r="FY1" s="2" t="s">
        <v>175</v>
      </c>
      <c r="FZ1" s="2" t="s">
        <v>176</v>
      </c>
      <c r="GA1" s="2" t="s">
        <v>177</v>
      </c>
      <c r="GB1" s="2" t="s">
        <v>178</v>
      </c>
      <c r="GC1" s="2" t="s">
        <v>179</v>
      </c>
      <c r="GD1" s="2" t="s">
        <v>180</v>
      </c>
      <c r="GE1" s="2" t="s">
        <v>181</v>
      </c>
      <c r="GF1" s="2" t="s">
        <v>182</v>
      </c>
      <c r="GG1" s="2" t="s">
        <v>183</v>
      </c>
      <c r="GH1" s="2" t="s">
        <v>184</v>
      </c>
      <c r="GI1" s="2" t="s">
        <v>185</v>
      </c>
      <c r="GJ1" s="2" t="s">
        <v>186</v>
      </c>
      <c r="GK1" s="2" t="s">
        <v>187</v>
      </c>
      <c r="GL1" s="2" t="s">
        <v>188</v>
      </c>
      <c r="GM1" s="2" t="s">
        <v>189</v>
      </c>
      <c r="GN1" s="2" t="s">
        <v>190</v>
      </c>
      <c r="GO1" s="2" t="s">
        <v>191</v>
      </c>
      <c r="GP1" s="2" t="s">
        <v>192</v>
      </c>
      <c r="GQ1" s="2" t="s">
        <v>193</v>
      </c>
      <c r="GR1" s="2" t="s">
        <v>194</v>
      </c>
      <c r="GS1" s="2" t="s">
        <v>195</v>
      </c>
      <c r="GT1" s="2" t="s">
        <v>196</v>
      </c>
      <c r="GU1" s="2" t="s">
        <v>197</v>
      </c>
      <c r="GV1" s="2" t="s">
        <v>198</v>
      </c>
      <c r="GW1" s="2" t="s">
        <v>199</v>
      </c>
      <c r="GX1" s="2" t="s">
        <v>200</v>
      </c>
      <c r="GY1" s="2" t="s">
        <v>201</v>
      </c>
      <c r="GZ1" s="2" t="s">
        <v>202</v>
      </c>
      <c r="HA1" s="2" t="s">
        <v>203</v>
      </c>
      <c r="HB1" s="2" t="s">
        <v>204</v>
      </c>
      <c r="HC1" s="2" t="s">
        <v>205</v>
      </c>
      <c r="HD1" s="2" t="s">
        <v>206</v>
      </c>
      <c r="HE1" s="2" t="s">
        <v>207</v>
      </c>
      <c r="HF1" s="2" t="s">
        <v>208</v>
      </c>
      <c r="HG1" s="2" t="s">
        <v>209</v>
      </c>
      <c r="HH1" s="2" t="s">
        <v>210</v>
      </c>
      <c r="HI1" s="2" t="s">
        <v>211</v>
      </c>
      <c r="HJ1" s="2" t="s">
        <v>212</v>
      </c>
      <c r="HK1" s="2" t="s">
        <v>213</v>
      </c>
      <c r="HL1" s="2" t="s">
        <v>214</v>
      </c>
      <c r="HM1" s="2" t="s">
        <v>215</v>
      </c>
      <c r="HN1" s="2" t="s">
        <v>216</v>
      </c>
      <c r="HO1" s="2" t="s">
        <v>217</v>
      </c>
      <c r="HP1" s="2" t="s">
        <v>218</v>
      </c>
      <c r="HQ1" s="2" t="s">
        <v>219</v>
      </c>
      <c r="HR1" s="2" t="s">
        <v>220</v>
      </c>
      <c r="HS1" s="2" t="s">
        <v>221</v>
      </c>
      <c r="HT1" s="2" t="s">
        <v>222</v>
      </c>
      <c r="HU1" s="2" t="s">
        <v>223</v>
      </c>
      <c r="HV1" s="2" t="s">
        <v>224</v>
      </c>
      <c r="HW1" s="2" t="s">
        <v>225</v>
      </c>
      <c r="HX1" s="2" t="s">
        <v>226</v>
      </c>
      <c r="HY1" s="2" t="s">
        <v>227</v>
      </c>
      <c r="HZ1" s="2" t="s">
        <v>228</v>
      </c>
      <c r="IA1" s="2" t="s">
        <v>229</v>
      </c>
      <c r="IB1" s="2" t="s">
        <v>230</v>
      </c>
      <c r="IC1" s="2" t="s">
        <v>231</v>
      </c>
      <c r="ID1" s="2" t="s">
        <v>232</v>
      </c>
      <c r="IE1" s="2" t="s">
        <v>233</v>
      </c>
      <c r="IF1" s="2" t="s">
        <v>234</v>
      </c>
      <c r="IG1" s="2" t="s">
        <v>235</v>
      </c>
      <c r="IH1" s="2" t="s">
        <v>236</v>
      </c>
      <c r="II1" s="2" t="s">
        <v>237</v>
      </c>
      <c r="IJ1" s="2" t="s">
        <v>238</v>
      </c>
      <c r="IK1" s="2" t="s">
        <v>239</v>
      </c>
      <c r="IL1" s="2" t="s">
        <v>240</v>
      </c>
      <c r="IM1" s="2" t="s">
        <v>241</v>
      </c>
      <c r="IN1" s="2" t="s">
        <v>242</v>
      </c>
      <c r="IO1" s="2" t="s">
        <v>243</v>
      </c>
      <c r="IP1" s="2" t="s">
        <v>244</v>
      </c>
      <c r="IQ1" s="2" t="s">
        <v>245</v>
      </c>
      <c r="IR1" s="2" t="s">
        <v>246</v>
      </c>
      <c r="IS1" s="2" t="s">
        <v>247</v>
      </c>
      <c r="IT1" s="2" t="s">
        <v>248</v>
      </c>
      <c r="IU1" s="2" t="s">
        <v>249</v>
      </c>
      <c r="IV1" s="2" t="s">
        <v>250</v>
      </c>
      <c r="IW1" s="2" t="s">
        <v>251</v>
      </c>
      <c r="IX1" s="2" t="s">
        <v>252</v>
      </c>
      <c r="IY1" s="2" t="s">
        <v>253</v>
      </c>
      <c r="IZ1" s="2" t="s">
        <v>254</v>
      </c>
      <c r="JA1" s="2" t="s">
        <v>255</v>
      </c>
      <c r="JB1" s="2" t="s">
        <v>256</v>
      </c>
      <c r="JC1" s="2" t="s">
        <v>257</v>
      </c>
      <c r="JD1" s="2" t="s">
        <v>258</v>
      </c>
      <c r="JE1" s="2" t="s">
        <v>259</v>
      </c>
      <c r="JF1" s="2" t="s">
        <v>260</v>
      </c>
      <c r="JG1" s="2" t="s">
        <v>261</v>
      </c>
      <c r="JH1" s="2" t="s">
        <v>262</v>
      </c>
      <c r="JI1" s="2" t="s">
        <v>263</v>
      </c>
      <c r="JJ1" s="2" t="s">
        <v>264</v>
      </c>
      <c r="JK1" s="2" t="s">
        <v>265</v>
      </c>
      <c r="JL1" s="2" t="s">
        <v>266</v>
      </c>
      <c r="JM1" s="2" t="s">
        <v>267</v>
      </c>
      <c r="JN1" s="2" t="s">
        <v>268</v>
      </c>
      <c r="JO1" s="2" t="s">
        <v>269</v>
      </c>
      <c r="JP1" s="2" t="s">
        <v>270</v>
      </c>
      <c r="JQ1" s="2" t="s">
        <v>271</v>
      </c>
      <c r="JR1" s="2" t="s">
        <v>272</v>
      </c>
      <c r="JS1" s="2" t="s">
        <v>273</v>
      </c>
      <c r="JT1" s="2" t="s">
        <v>274</v>
      </c>
      <c r="JU1" s="2" t="s">
        <v>275</v>
      </c>
      <c r="JV1" s="2" t="s">
        <v>276</v>
      </c>
      <c r="JW1" s="2" t="s">
        <v>277</v>
      </c>
      <c r="JX1" s="2" t="s">
        <v>278</v>
      </c>
      <c r="JY1" s="2" t="s">
        <v>279</v>
      </c>
      <c r="JZ1" s="2" t="s">
        <v>280</v>
      </c>
      <c r="KA1" s="2" t="s">
        <v>281</v>
      </c>
      <c r="KB1" s="2" t="s">
        <v>282</v>
      </c>
      <c r="KC1" s="2" t="s">
        <v>283</v>
      </c>
      <c r="KD1" s="2" t="s">
        <v>284</v>
      </c>
      <c r="KE1" s="2" t="s">
        <v>285</v>
      </c>
      <c r="KF1" s="2" t="s">
        <v>286</v>
      </c>
      <c r="KG1" s="2" t="s">
        <v>287</v>
      </c>
      <c r="KH1" s="2" t="s">
        <v>288</v>
      </c>
      <c r="KI1" s="2" t="s">
        <v>289</v>
      </c>
      <c r="KJ1" s="2" t="s">
        <v>290</v>
      </c>
      <c r="KK1" s="2" t="s">
        <v>291</v>
      </c>
      <c r="KL1" s="2" t="s">
        <v>292</v>
      </c>
      <c r="KM1" s="2" t="s">
        <v>293</v>
      </c>
      <c r="KN1" s="2" t="s">
        <v>294</v>
      </c>
      <c r="KO1" s="2" t="s">
        <v>295</v>
      </c>
      <c r="KP1" s="2" t="s">
        <v>296</v>
      </c>
      <c r="KQ1" s="2" t="s">
        <v>297</v>
      </c>
      <c r="KR1" s="2" t="s">
        <v>298</v>
      </c>
      <c r="KS1" s="2" t="s">
        <v>299</v>
      </c>
      <c r="KT1" s="2" t="s">
        <v>300</v>
      </c>
      <c r="KU1" s="2" t="s">
        <v>301</v>
      </c>
      <c r="KV1" s="2" t="s">
        <v>302</v>
      </c>
      <c r="KW1" s="2" t="s">
        <v>303</v>
      </c>
      <c r="KX1" s="2" t="s">
        <v>304</v>
      </c>
      <c r="KY1" s="2" t="s">
        <v>305</v>
      </c>
      <c r="KZ1" s="2" t="s">
        <v>306</v>
      </c>
      <c r="LA1" s="2" t="s">
        <v>307</v>
      </c>
      <c r="LB1" s="2" t="s">
        <v>308</v>
      </c>
      <c r="LC1" s="2" t="s">
        <v>309</v>
      </c>
      <c r="LD1" s="2" t="s">
        <v>310</v>
      </c>
      <c r="LE1" s="2" t="s">
        <v>311</v>
      </c>
      <c r="LF1" s="2" t="s">
        <v>312</v>
      </c>
      <c r="LG1" s="2" t="s">
        <v>313</v>
      </c>
      <c r="LH1" s="2" t="s">
        <v>314</v>
      </c>
      <c r="LI1" s="2" t="s">
        <v>315</v>
      </c>
      <c r="LJ1" s="2" t="s">
        <v>316</v>
      </c>
      <c r="LK1" s="2" t="s">
        <v>317</v>
      </c>
      <c r="LL1" s="2" t="s">
        <v>318</v>
      </c>
      <c r="LM1" s="2" t="s">
        <v>319</v>
      </c>
      <c r="LN1" s="2" t="s">
        <v>320</v>
      </c>
      <c r="LO1" s="2" t="s">
        <v>321</v>
      </c>
      <c r="LP1" s="2" t="s">
        <v>322</v>
      </c>
      <c r="LQ1" s="2" t="s">
        <v>323</v>
      </c>
      <c r="LR1" s="2" t="s">
        <v>324</v>
      </c>
      <c r="LS1" s="2" t="s">
        <v>325</v>
      </c>
      <c r="LT1" s="2" t="s">
        <v>326</v>
      </c>
      <c r="LU1" s="2" t="s">
        <v>327</v>
      </c>
      <c r="LV1" s="2" t="s">
        <v>328</v>
      </c>
      <c r="LW1" s="2" t="s">
        <v>329</v>
      </c>
      <c r="LX1" s="2" t="s">
        <v>330</v>
      </c>
      <c r="LY1" s="2" t="s">
        <v>331</v>
      </c>
      <c r="LZ1" s="2" t="s">
        <v>332</v>
      </c>
      <c r="MA1" s="2" t="s">
        <v>333</v>
      </c>
      <c r="MB1" s="2" t="s">
        <v>334</v>
      </c>
      <c r="MC1" s="2" t="s">
        <v>335</v>
      </c>
      <c r="MD1" s="2" t="s">
        <v>336</v>
      </c>
      <c r="ME1" s="2" t="s">
        <v>337</v>
      </c>
      <c r="MF1" s="2" t="s">
        <v>338</v>
      </c>
      <c r="MG1" s="2" t="s">
        <v>339</v>
      </c>
      <c r="MH1" s="2" t="s">
        <v>340</v>
      </c>
      <c r="MI1" s="2" t="s">
        <v>341</v>
      </c>
      <c r="MJ1" s="2" t="s">
        <v>342</v>
      </c>
      <c r="MK1" s="2" t="s">
        <v>343</v>
      </c>
      <c r="ML1" s="2" t="s">
        <v>344</v>
      </c>
      <c r="MM1" s="2" t="s">
        <v>345</v>
      </c>
      <c r="MN1" s="2" t="s">
        <v>346</v>
      </c>
      <c r="MO1" s="2" t="s">
        <v>347</v>
      </c>
      <c r="MP1" s="2" t="s">
        <v>348</v>
      </c>
      <c r="MQ1" s="2" t="s">
        <v>349</v>
      </c>
      <c r="MR1" s="2" t="s">
        <v>350</v>
      </c>
      <c r="MS1" s="2" t="s">
        <v>351</v>
      </c>
      <c r="MT1" s="2" t="s">
        <v>352</v>
      </c>
      <c r="MU1" s="2" t="s">
        <v>353</v>
      </c>
      <c r="MV1" s="2" t="s">
        <v>354</v>
      </c>
      <c r="MW1" s="2" t="s">
        <v>355</v>
      </c>
      <c r="MX1" s="2" t="s">
        <v>356</v>
      </c>
      <c r="MY1" s="2" t="s">
        <v>357</v>
      </c>
      <c r="MZ1" s="2" t="s">
        <v>358</v>
      </c>
      <c r="NA1" s="2" t="s">
        <v>359</v>
      </c>
      <c r="NB1" s="2" t="s">
        <v>360</v>
      </c>
      <c r="NC1" s="2" t="s">
        <v>361</v>
      </c>
      <c r="ND1" s="2" t="s">
        <v>362</v>
      </c>
      <c r="NE1" s="2" t="s">
        <v>363</v>
      </c>
      <c r="NF1" s="2" t="s">
        <v>364</v>
      </c>
      <c r="NG1" s="2" t="s">
        <v>365</v>
      </c>
      <c r="NH1" s="2" t="s">
        <v>366</v>
      </c>
      <c r="NI1" s="2" t="s">
        <v>367</v>
      </c>
      <c r="NJ1" s="2" t="s">
        <v>368</v>
      </c>
      <c r="NK1" s="2" t="s">
        <v>369</v>
      </c>
      <c r="NL1" s="2" t="s">
        <v>370</v>
      </c>
      <c r="NM1" s="2" t="s">
        <v>371</v>
      </c>
      <c r="NN1" s="2" t="s">
        <v>372</v>
      </c>
      <c r="NO1" s="2" t="s">
        <v>373</v>
      </c>
      <c r="NP1" s="2" t="s">
        <v>374</v>
      </c>
      <c r="NQ1" s="2" t="s">
        <v>375</v>
      </c>
      <c r="NR1" s="2" t="s">
        <v>376</v>
      </c>
      <c r="NS1" s="2" t="s">
        <v>377</v>
      </c>
      <c r="NT1" s="2" t="s">
        <v>378</v>
      </c>
      <c r="NU1" s="2" t="s">
        <v>379</v>
      </c>
      <c r="NV1" s="2" t="s">
        <v>380</v>
      </c>
      <c r="NW1" s="2" t="s">
        <v>381</v>
      </c>
      <c r="NX1" s="2" t="s">
        <v>382</v>
      </c>
      <c r="NY1" s="2" t="s">
        <v>383</v>
      </c>
      <c r="NZ1" s="2" t="s">
        <v>384</v>
      </c>
      <c r="OA1" s="2" t="s">
        <v>385</v>
      </c>
      <c r="OB1" s="2" t="s">
        <v>386</v>
      </c>
      <c r="OC1" s="2" t="s">
        <v>387</v>
      </c>
      <c r="OD1" s="2" t="s">
        <v>388</v>
      </c>
      <c r="OE1" s="2" t="s">
        <v>389</v>
      </c>
      <c r="OF1" s="2" t="s">
        <v>390</v>
      </c>
      <c r="OG1" s="2" t="s">
        <v>391</v>
      </c>
      <c r="OH1" s="2" t="s">
        <v>392</v>
      </c>
      <c r="OI1" s="2" t="s">
        <v>393</v>
      </c>
      <c r="OJ1" s="2" t="s">
        <v>394</v>
      </c>
      <c r="OK1" s="2" t="s">
        <v>395</v>
      </c>
      <c r="OL1" s="2" t="s">
        <v>396</v>
      </c>
      <c r="OM1" s="2" t="s">
        <v>397</v>
      </c>
      <c r="ON1" s="2" t="s">
        <v>398</v>
      </c>
      <c r="OO1" s="2" t="s">
        <v>399</v>
      </c>
      <c r="OP1" s="2" t="s">
        <v>400</v>
      </c>
      <c r="OQ1" s="2" t="s">
        <v>401</v>
      </c>
      <c r="OR1" s="2" t="s">
        <v>402</v>
      </c>
      <c r="OS1" s="2" t="s">
        <v>403</v>
      </c>
      <c r="OT1" s="2" t="s">
        <v>404</v>
      </c>
      <c r="OU1" s="2" t="s">
        <v>405</v>
      </c>
      <c r="OV1" s="2" t="s">
        <v>406</v>
      </c>
      <c r="OW1" s="2" t="s">
        <v>407</v>
      </c>
      <c r="OX1" s="2" t="s">
        <v>408</v>
      </c>
      <c r="OY1" s="2" t="s">
        <v>409</v>
      </c>
      <c r="OZ1" s="2" t="s">
        <v>410</v>
      </c>
      <c r="PA1" s="2" t="s">
        <v>411</v>
      </c>
      <c r="PB1" s="2" t="s">
        <v>412</v>
      </c>
      <c r="PC1" s="2" t="s">
        <v>413</v>
      </c>
      <c r="PD1" s="2" t="s">
        <v>414</v>
      </c>
      <c r="PE1" s="2" t="s">
        <v>415</v>
      </c>
      <c r="PF1" s="2" t="s">
        <v>416</v>
      </c>
      <c r="PG1" s="2" t="s">
        <v>417</v>
      </c>
      <c r="PH1" s="2" t="s">
        <v>418</v>
      </c>
      <c r="PI1" s="2" t="s">
        <v>419</v>
      </c>
      <c r="PJ1" s="2" t="s">
        <v>420</v>
      </c>
      <c r="PK1" s="2" t="s">
        <v>421</v>
      </c>
      <c r="PL1" s="2" t="s">
        <v>422</v>
      </c>
      <c r="PM1" s="2" t="s">
        <v>423</v>
      </c>
      <c r="PN1" s="2" t="s">
        <v>424</v>
      </c>
      <c r="PO1" s="2" t="s">
        <v>425</v>
      </c>
      <c r="PP1" s="2" t="s">
        <v>426</v>
      </c>
      <c r="PQ1" s="2" t="s">
        <v>427</v>
      </c>
      <c r="PR1" s="2" t="s">
        <v>428</v>
      </c>
      <c r="PS1" s="2" t="s">
        <v>429</v>
      </c>
      <c r="PT1" s="2" t="s">
        <v>430</v>
      </c>
      <c r="PU1" s="2" t="s">
        <v>431</v>
      </c>
      <c r="PV1" s="2" t="s">
        <v>432</v>
      </c>
      <c r="PW1" s="2" t="s">
        <v>433</v>
      </c>
      <c r="PX1" s="2" t="s">
        <v>434</v>
      </c>
      <c r="PY1" s="2" t="s">
        <v>435</v>
      </c>
      <c r="PZ1" s="2" t="s">
        <v>436</v>
      </c>
      <c r="QA1" s="2" t="s">
        <v>437</v>
      </c>
      <c r="QB1" s="2" t="s">
        <v>438</v>
      </c>
      <c r="QC1" s="2" t="s">
        <v>439</v>
      </c>
      <c r="QD1" s="2" t="s">
        <v>440</v>
      </c>
      <c r="QE1" s="3" t="s">
        <v>441</v>
      </c>
      <c r="QF1" s="2" t="s">
        <v>442</v>
      </c>
      <c r="QG1" s="3" t="s">
        <v>443</v>
      </c>
      <c r="QH1" s="2" t="s">
        <v>444</v>
      </c>
      <c r="QI1" s="3" t="s">
        <v>445</v>
      </c>
      <c r="QJ1" s="2" t="s">
        <v>446</v>
      </c>
      <c r="QK1" s="2" t="s">
        <v>447</v>
      </c>
      <c r="QL1" s="2" t="s">
        <v>448</v>
      </c>
      <c r="QM1" s="2" t="s">
        <v>449</v>
      </c>
      <c r="QN1" s="2" t="s">
        <v>450</v>
      </c>
      <c r="QO1" s="2" t="s">
        <v>451</v>
      </c>
      <c r="QP1" s="2" t="s">
        <v>452</v>
      </c>
      <c r="QQ1" s="2" t="s">
        <v>453</v>
      </c>
      <c r="QR1" s="2" t="s">
        <v>454</v>
      </c>
      <c r="QS1" s="2" t="s">
        <v>455</v>
      </c>
      <c r="QT1" s="2" t="s">
        <v>456</v>
      </c>
      <c r="QU1" s="2" t="s">
        <v>457</v>
      </c>
      <c r="QV1" s="2" t="s">
        <v>458</v>
      </c>
      <c r="QW1" s="2" t="s">
        <v>459</v>
      </c>
      <c r="QX1" s="2" t="s">
        <v>460</v>
      </c>
      <c r="QY1" s="2" t="s">
        <v>461</v>
      </c>
      <c r="QZ1" s="2" t="s">
        <v>462</v>
      </c>
      <c r="RA1" s="2" t="s">
        <v>463</v>
      </c>
      <c r="RB1" s="2" t="s">
        <v>464</v>
      </c>
      <c r="RC1" s="2" t="s">
        <v>465</v>
      </c>
      <c r="RD1" s="2" t="s">
        <v>466</v>
      </c>
      <c r="RE1" s="2" t="s">
        <v>467</v>
      </c>
      <c r="RF1" s="2" t="s">
        <v>468</v>
      </c>
      <c r="RG1" s="2" t="s">
        <v>469</v>
      </c>
      <c r="RH1" s="2" t="s">
        <v>470</v>
      </c>
      <c r="RI1" s="2" t="s">
        <v>471</v>
      </c>
      <c r="RJ1" s="2" t="s">
        <v>472</v>
      </c>
      <c r="RK1" s="2" t="s">
        <v>473</v>
      </c>
      <c r="RL1" s="2" t="s">
        <v>474</v>
      </c>
      <c r="RM1" s="2" t="s">
        <v>475</v>
      </c>
      <c r="RN1" s="2" t="s">
        <v>476</v>
      </c>
      <c r="RO1" s="2" t="s">
        <v>477</v>
      </c>
      <c r="RP1" s="2" t="s">
        <v>478</v>
      </c>
      <c r="RQ1" s="2" t="s">
        <v>479</v>
      </c>
      <c r="RR1" s="2" t="s">
        <v>480</v>
      </c>
      <c r="RS1" s="2" t="s">
        <v>481</v>
      </c>
      <c r="RT1" s="2" t="s">
        <v>482</v>
      </c>
      <c r="RU1" s="2" t="s">
        <v>483</v>
      </c>
      <c r="RV1" s="2" t="s">
        <v>484</v>
      </c>
      <c r="RW1" s="2" t="s">
        <v>485</v>
      </c>
      <c r="RX1" s="2" t="s">
        <v>486</v>
      </c>
      <c r="RY1" s="2" t="s">
        <v>487</v>
      </c>
      <c r="RZ1" s="2" t="s">
        <v>488</v>
      </c>
      <c r="SA1" s="2" t="s">
        <v>489</v>
      </c>
      <c r="SB1" s="2" t="s">
        <v>490</v>
      </c>
      <c r="SC1" s="2" t="s">
        <v>491</v>
      </c>
      <c r="SD1" s="2" t="s">
        <v>492</v>
      </c>
      <c r="SE1" s="2" t="s">
        <v>493</v>
      </c>
      <c r="SF1" s="2" t="s">
        <v>494</v>
      </c>
      <c r="SG1" s="2" t="s">
        <v>495</v>
      </c>
      <c r="SH1" s="2" t="s">
        <v>496</v>
      </c>
      <c r="SI1" s="2" t="s">
        <v>497</v>
      </c>
      <c r="SJ1" s="2" t="s">
        <v>498</v>
      </c>
      <c r="SK1" s="2" t="s">
        <v>499</v>
      </c>
      <c r="SL1" s="2" t="s">
        <v>500</v>
      </c>
      <c r="SM1" s="2" t="s">
        <v>501</v>
      </c>
      <c r="SN1" s="2" t="s">
        <v>502</v>
      </c>
      <c r="SO1" s="2" t="s">
        <v>503</v>
      </c>
      <c r="SP1" s="2" t="s">
        <v>504</v>
      </c>
      <c r="SQ1" s="2" t="s">
        <v>505</v>
      </c>
      <c r="SR1" s="2" t="s">
        <v>506</v>
      </c>
      <c r="SS1" s="2" t="s">
        <v>507</v>
      </c>
      <c r="ST1" s="2" t="s">
        <v>508</v>
      </c>
      <c r="SU1" s="2" t="s">
        <v>509</v>
      </c>
      <c r="SV1" s="2" t="s">
        <v>510</v>
      </c>
      <c r="SW1" s="2" t="s">
        <v>511</v>
      </c>
      <c r="SX1" s="2" t="s">
        <v>512</v>
      </c>
      <c r="SY1" s="2" t="s">
        <v>513</v>
      </c>
      <c r="SZ1" s="2" t="s">
        <v>514</v>
      </c>
      <c r="TA1" s="2" t="s">
        <v>515</v>
      </c>
      <c r="TB1" s="2" t="s">
        <v>516</v>
      </c>
      <c r="TC1" s="2" t="s">
        <v>517</v>
      </c>
      <c r="TD1" s="2" t="s">
        <v>518</v>
      </c>
      <c r="TE1" s="2" t="s">
        <v>519</v>
      </c>
      <c r="TF1" s="2" t="s">
        <v>520</v>
      </c>
      <c r="TG1" s="2" t="s">
        <v>521</v>
      </c>
      <c r="TH1" s="2" t="s">
        <v>522</v>
      </c>
      <c r="TI1" s="2" t="s">
        <v>523</v>
      </c>
      <c r="TJ1" s="2" t="s">
        <v>524</v>
      </c>
      <c r="TK1" s="2" t="s">
        <v>525</v>
      </c>
      <c r="TL1" s="2" t="s">
        <v>526</v>
      </c>
      <c r="TM1" s="2" t="s">
        <v>527</v>
      </c>
      <c r="TN1" s="2" t="s">
        <v>528</v>
      </c>
      <c r="TO1" s="2" t="s">
        <v>529</v>
      </c>
      <c r="TP1" s="2" t="s">
        <v>530</v>
      </c>
      <c r="TQ1" s="2" t="s">
        <v>531</v>
      </c>
      <c r="TR1" s="2" t="s">
        <v>532</v>
      </c>
      <c r="TS1" s="2" t="s">
        <v>533</v>
      </c>
      <c r="TT1" s="2" t="s">
        <v>534</v>
      </c>
      <c r="TU1" s="2" t="s">
        <v>535</v>
      </c>
      <c r="TV1" s="2" t="s">
        <v>536</v>
      </c>
      <c r="TW1" s="2" t="s">
        <v>537</v>
      </c>
      <c r="TX1" s="2" t="s">
        <v>538</v>
      </c>
      <c r="TY1" s="2" t="s">
        <v>539</v>
      </c>
      <c r="TZ1" s="2" t="s">
        <v>540</v>
      </c>
      <c r="UA1" s="2" t="s">
        <v>541</v>
      </c>
      <c r="UB1" s="2" t="s">
        <v>542</v>
      </c>
      <c r="UC1" s="2" t="s">
        <v>543</v>
      </c>
      <c r="UD1" s="2" t="s">
        <v>544</v>
      </c>
      <c r="UE1" s="2" t="s">
        <v>545</v>
      </c>
      <c r="UF1" s="2" t="s">
        <v>546</v>
      </c>
      <c r="UG1" s="2" t="s">
        <v>547</v>
      </c>
      <c r="UH1" s="2" t="s">
        <v>548</v>
      </c>
      <c r="UI1" s="2" t="s">
        <v>549</v>
      </c>
      <c r="UJ1" s="2" t="s">
        <v>550</v>
      </c>
      <c r="UK1" s="2" t="s">
        <v>551</v>
      </c>
      <c r="UL1" s="2" t="s">
        <v>552</v>
      </c>
      <c r="UM1" s="2" t="s">
        <v>553</v>
      </c>
      <c r="UN1" s="2" t="s">
        <v>554</v>
      </c>
      <c r="UO1" s="2" t="s">
        <v>555</v>
      </c>
      <c r="UP1" s="2" t="s">
        <v>556</v>
      </c>
      <c r="UQ1" s="2" t="s">
        <v>557</v>
      </c>
      <c r="UR1" s="2" t="s">
        <v>558</v>
      </c>
      <c r="US1" s="2" t="s">
        <v>559</v>
      </c>
      <c r="UT1" s="2" t="s">
        <v>560</v>
      </c>
      <c r="UU1" s="2" t="s">
        <v>561</v>
      </c>
      <c r="UV1" s="2" t="s">
        <v>562</v>
      </c>
      <c r="UW1" s="2" t="s">
        <v>563</v>
      </c>
      <c r="UX1" s="2" t="s">
        <v>564</v>
      </c>
      <c r="UY1" s="2" t="s">
        <v>565</v>
      </c>
      <c r="UZ1" s="2" t="s">
        <v>566</v>
      </c>
      <c r="VA1" s="2" t="s">
        <v>567</v>
      </c>
      <c r="VB1" s="2" t="s">
        <v>568</v>
      </c>
      <c r="VC1" s="2" t="s">
        <v>569</v>
      </c>
      <c r="VD1" s="2" t="s">
        <v>570</v>
      </c>
      <c r="VE1" s="2" t="s">
        <v>571</v>
      </c>
      <c r="VF1" s="2" t="s">
        <v>572</v>
      </c>
      <c r="VG1" s="2" t="s">
        <v>573</v>
      </c>
      <c r="VH1" s="2" t="s">
        <v>574</v>
      </c>
      <c r="VI1" s="2" t="s">
        <v>575</v>
      </c>
      <c r="VJ1" s="2" t="s">
        <v>576</v>
      </c>
      <c r="VK1" s="2" t="s">
        <v>577</v>
      </c>
      <c r="VL1" s="2" t="s">
        <v>578</v>
      </c>
      <c r="VM1" s="2" t="s">
        <v>579</v>
      </c>
      <c r="VN1" s="2" t="s">
        <v>580</v>
      </c>
      <c r="VO1" s="2" t="s">
        <v>581</v>
      </c>
      <c r="VP1" s="2" t="s">
        <v>582</v>
      </c>
      <c r="VQ1" s="2" t="s">
        <v>583</v>
      </c>
      <c r="VR1" s="2" t="s">
        <v>584</v>
      </c>
      <c r="VS1" s="2" t="s">
        <v>585</v>
      </c>
      <c r="VT1" s="2" t="s">
        <v>586</v>
      </c>
      <c r="VU1" s="2" t="s">
        <v>587</v>
      </c>
      <c r="VV1" s="2" t="s">
        <v>588</v>
      </c>
      <c r="VW1" s="2" t="s">
        <v>589</v>
      </c>
      <c r="VX1" s="2" t="s">
        <v>590</v>
      </c>
      <c r="VY1" s="2" t="s">
        <v>591</v>
      </c>
      <c r="VZ1" s="2" t="s">
        <v>592</v>
      </c>
      <c r="WA1" s="2" t="s">
        <v>593</v>
      </c>
      <c r="WB1" s="2" t="s">
        <v>594</v>
      </c>
      <c r="WC1" s="2" t="s">
        <v>595</v>
      </c>
      <c r="WD1" s="2" t="s">
        <v>596</v>
      </c>
      <c r="WE1" s="2" t="s">
        <v>597</v>
      </c>
      <c r="WF1" s="2" t="s">
        <v>598</v>
      </c>
      <c r="WG1" s="2" t="s">
        <v>599</v>
      </c>
      <c r="WH1" s="2" t="s">
        <v>600</v>
      </c>
      <c r="WI1" s="2" t="s">
        <v>601</v>
      </c>
      <c r="WJ1" s="2" t="s">
        <v>602</v>
      </c>
      <c r="WK1" s="2" t="s">
        <v>603</v>
      </c>
      <c r="WL1" s="2" t="s">
        <v>604</v>
      </c>
      <c r="WM1" s="2" t="s">
        <v>605</v>
      </c>
      <c r="WN1" s="2" t="s">
        <v>606</v>
      </c>
      <c r="WO1" s="2" t="s">
        <v>607</v>
      </c>
      <c r="WP1" s="2" t="s">
        <v>608</v>
      </c>
      <c r="WQ1" s="2" t="s">
        <v>609</v>
      </c>
      <c r="WR1" s="2" t="s">
        <v>610</v>
      </c>
      <c r="WS1" s="2" t="s">
        <v>611</v>
      </c>
      <c r="WT1" s="2" t="s">
        <v>612</v>
      </c>
      <c r="WU1" s="2" t="s">
        <v>613</v>
      </c>
      <c r="WV1" s="2" t="s">
        <v>614</v>
      </c>
      <c r="WW1" s="2" t="s">
        <v>615</v>
      </c>
      <c r="WX1" s="2" t="s">
        <v>616</v>
      </c>
      <c r="WY1" s="2" t="s">
        <v>617</v>
      </c>
      <c r="WZ1" s="2" t="s">
        <v>618</v>
      </c>
      <c r="XA1" s="2" t="s">
        <v>619</v>
      </c>
      <c r="XB1" s="2" t="s">
        <v>620</v>
      </c>
      <c r="XC1" s="2" t="s">
        <v>621</v>
      </c>
      <c r="XD1" s="2" t="s">
        <v>622</v>
      </c>
      <c r="XE1" s="2" t="s">
        <v>623</v>
      </c>
      <c r="XF1" s="2" t="s">
        <v>624</v>
      </c>
      <c r="XG1" s="2" t="s">
        <v>625</v>
      </c>
      <c r="XH1" s="2" t="s">
        <v>626</v>
      </c>
      <c r="XI1" s="2" t="s">
        <v>627</v>
      </c>
      <c r="XJ1" s="2" t="s">
        <v>628</v>
      </c>
      <c r="XK1" s="2" t="s">
        <v>629</v>
      </c>
      <c r="XL1" s="2" t="s">
        <v>630</v>
      </c>
      <c r="XM1" s="2" t="s">
        <v>631</v>
      </c>
      <c r="XN1" s="2" t="s">
        <v>632</v>
      </c>
      <c r="XO1" s="2" t="s">
        <v>633</v>
      </c>
      <c r="XP1" s="2" t="s">
        <v>634</v>
      </c>
      <c r="XQ1" s="2" t="s">
        <v>635</v>
      </c>
      <c r="XR1" s="2" t="s">
        <v>636</v>
      </c>
      <c r="XS1" s="2" t="s">
        <v>637</v>
      </c>
      <c r="XT1" s="2" t="s">
        <v>638</v>
      </c>
      <c r="XU1" s="2" t="s">
        <v>639</v>
      </c>
      <c r="XV1" s="2" t="s">
        <v>640</v>
      </c>
      <c r="XW1" s="2" t="s">
        <v>641</v>
      </c>
      <c r="XX1" s="2" t="s">
        <v>642</v>
      </c>
      <c r="XY1" s="2" t="s">
        <v>643</v>
      </c>
      <c r="XZ1" s="2" t="s">
        <v>644</v>
      </c>
      <c r="YA1" s="2" t="s">
        <v>645</v>
      </c>
      <c r="YB1" s="2" t="s">
        <v>646</v>
      </c>
      <c r="YC1" s="2" t="s">
        <v>647</v>
      </c>
      <c r="YD1" s="2" t="s">
        <v>648</v>
      </c>
      <c r="YE1" s="2" t="s">
        <v>649</v>
      </c>
      <c r="YF1" s="2" t="s">
        <v>650</v>
      </c>
      <c r="YG1" s="2" t="s">
        <v>651</v>
      </c>
      <c r="YH1" s="2" t="s">
        <v>652</v>
      </c>
      <c r="YI1" s="2" t="s">
        <v>653</v>
      </c>
      <c r="YJ1" s="2" t="s">
        <v>654</v>
      </c>
      <c r="YK1" s="2" t="s">
        <v>655</v>
      </c>
      <c r="YL1" s="2" t="s">
        <v>656</v>
      </c>
      <c r="YM1" s="2" t="s">
        <v>657</v>
      </c>
      <c r="YN1" s="2" t="s">
        <v>658</v>
      </c>
      <c r="YO1" s="2" t="s">
        <v>659</v>
      </c>
      <c r="YP1" s="2" t="s">
        <v>660</v>
      </c>
      <c r="YQ1" s="2" t="s">
        <v>661</v>
      </c>
      <c r="YR1" s="2" t="s">
        <v>662</v>
      </c>
      <c r="YS1" s="2" t="s">
        <v>663</v>
      </c>
      <c r="YT1" s="2" t="s">
        <v>664</v>
      </c>
      <c r="YU1" s="2" t="s">
        <v>665</v>
      </c>
      <c r="YV1" s="2" t="s">
        <v>666</v>
      </c>
      <c r="YW1" s="2" t="s">
        <v>667</v>
      </c>
      <c r="YX1" s="2" t="s">
        <v>668</v>
      </c>
      <c r="YY1" s="2" t="s">
        <v>669</v>
      </c>
      <c r="YZ1" s="2" t="s">
        <v>670</v>
      </c>
      <c r="ZA1" s="2" t="s">
        <v>671</v>
      </c>
      <c r="ZB1" s="2" t="s">
        <v>672</v>
      </c>
      <c r="ZC1" s="2" t="s">
        <v>673</v>
      </c>
      <c r="ZD1" s="2" t="s">
        <v>674</v>
      </c>
      <c r="ZE1" s="2" t="s">
        <v>675</v>
      </c>
      <c r="ZF1" s="2" t="s">
        <v>676</v>
      </c>
      <c r="ZG1" s="2" t="s">
        <v>677</v>
      </c>
      <c r="ZH1" s="2" t="s">
        <v>678</v>
      </c>
      <c r="ZI1" s="2" t="s">
        <v>679</v>
      </c>
      <c r="ZJ1" s="2" t="s">
        <v>680</v>
      </c>
      <c r="ZK1" s="2" t="s">
        <v>681</v>
      </c>
      <c r="ZL1" s="2" t="s">
        <v>682</v>
      </c>
      <c r="ZM1" s="2" t="s">
        <v>683</v>
      </c>
      <c r="ZN1" s="2" t="s">
        <v>684</v>
      </c>
      <c r="ZO1" s="2" t="s">
        <v>685</v>
      </c>
      <c r="ZP1" s="2" t="s">
        <v>686</v>
      </c>
      <c r="ZQ1" s="2" t="s">
        <v>687</v>
      </c>
      <c r="ZR1" s="2" t="s">
        <v>688</v>
      </c>
      <c r="ZS1" s="2" t="s">
        <v>689</v>
      </c>
      <c r="ZT1" s="2" t="s">
        <v>690</v>
      </c>
      <c r="ZU1" s="2" t="s">
        <v>691</v>
      </c>
      <c r="ZV1" s="2" t="s">
        <v>692</v>
      </c>
      <c r="ZW1" s="2" t="s">
        <v>693</v>
      </c>
      <c r="ZX1" s="2" t="s">
        <v>694</v>
      </c>
      <c r="ZY1" s="2" t="s">
        <v>695</v>
      </c>
      <c r="ZZ1" s="2" t="s">
        <v>696</v>
      </c>
      <c r="AAA1" s="2" t="s">
        <v>697</v>
      </c>
      <c r="AAB1" s="2" t="s">
        <v>698</v>
      </c>
      <c r="AAC1" s="2" t="s">
        <v>699</v>
      </c>
      <c r="AAD1" s="2" t="s">
        <v>700</v>
      </c>
      <c r="AAE1" s="2" t="s">
        <v>701</v>
      </c>
      <c r="AAF1" s="2" t="s">
        <v>702</v>
      </c>
      <c r="AAG1" s="2" t="s">
        <v>703</v>
      </c>
      <c r="AAH1" s="2" t="s">
        <v>704</v>
      </c>
      <c r="AAI1" s="2" t="s">
        <v>705</v>
      </c>
      <c r="AAJ1" s="2" t="s">
        <v>706</v>
      </c>
      <c r="AAK1" s="2" t="s">
        <v>707</v>
      </c>
      <c r="AAL1" s="2" t="s">
        <v>708</v>
      </c>
      <c r="AAM1" s="2" t="s">
        <v>709</v>
      </c>
      <c r="AAN1" s="2" t="s">
        <v>710</v>
      </c>
      <c r="AAO1" s="2" t="s">
        <v>711</v>
      </c>
      <c r="AAP1" s="2" t="s">
        <v>712</v>
      </c>
      <c r="AAQ1" s="2" t="s">
        <v>713</v>
      </c>
      <c r="AAR1" s="2" t="s">
        <v>714</v>
      </c>
      <c r="AAS1" s="2" t="s">
        <v>715</v>
      </c>
      <c r="AAT1" s="2" t="s">
        <v>716</v>
      </c>
      <c r="AAU1" s="2" t="s">
        <v>717</v>
      </c>
      <c r="AAV1" s="2" t="s">
        <v>718</v>
      </c>
      <c r="AAW1" s="2" t="s">
        <v>719</v>
      </c>
      <c r="AAX1" s="2" t="s">
        <v>720</v>
      </c>
      <c r="AAY1" s="2" t="s">
        <v>721</v>
      </c>
      <c r="AAZ1" s="2" t="s">
        <v>722</v>
      </c>
      <c r="ABA1" s="2" t="s">
        <v>723</v>
      </c>
      <c r="ABB1" s="2" t="s">
        <v>724</v>
      </c>
      <c r="ABC1" s="2" t="s">
        <v>725</v>
      </c>
      <c r="ABD1" s="2" t="s">
        <v>726</v>
      </c>
      <c r="ABE1" s="2" t="s">
        <v>727</v>
      </c>
      <c r="ABF1" s="2" t="s">
        <v>728</v>
      </c>
      <c r="ABG1" s="2" t="s">
        <v>729</v>
      </c>
      <c r="ABH1" s="2" t="s">
        <v>730</v>
      </c>
      <c r="ABI1" s="2" t="s">
        <v>731</v>
      </c>
      <c r="ABJ1" s="2" t="s">
        <v>732</v>
      </c>
      <c r="ABK1" s="2" t="s">
        <v>733</v>
      </c>
      <c r="ABL1" s="2" t="s">
        <v>734</v>
      </c>
      <c r="ABM1" s="2" t="s">
        <v>735</v>
      </c>
      <c r="ABN1" s="2" t="s">
        <v>736</v>
      </c>
      <c r="ABO1" s="2" t="s">
        <v>737</v>
      </c>
      <c r="ABP1" s="2" t="s">
        <v>738</v>
      </c>
      <c r="ABQ1" s="2" t="s">
        <v>739</v>
      </c>
      <c r="ABR1" s="2" t="s">
        <v>740</v>
      </c>
      <c r="ABS1" s="2" t="s">
        <v>741</v>
      </c>
      <c r="ABT1" s="2" t="s">
        <v>742</v>
      </c>
      <c r="ABU1" s="2" t="s">
        <v>743</v>
      </c>
      <c r="ABV1" s="2" t="s">
        <v>744</v>
      </c>
      <c r="ABW1" s="2" t="s">
        <v>745</v>
      </c>
      <c r="ABX1" s="2" t="s">
        <v>746</v>
      </c>
      <c r="ABY1" s="2" t="s">
        <v>747</v>
      </c>
      <c r="ABZ1" s="2" t="s">
        <v>748</v>
      </c>
      <c r="ACA1" s="2" t="s">
        <v>749</v>
      </c>
      <c r="ACB1" s="2" t="s">
        <v>750</v>
      </c>
      <c r="ACC1" s="2" t="s">
        <v>751</v>
      </c>
      <c r="ACD1" s="2" t="s">
        <v>752</v>
      </c>
      <c r="ACE1" s="2" t="s">
        <v>753</v>
      </c>
      <c r="ACF1" s="2" t="s">
        <v>754</v>
      </c>
      <c r="ACG1" s="2" t="s">
        <v>755</v>
      </c>
      <c r="ACH1" s="2" t="s">
        <v>756</v>
      </c>
      <c r="ACI1" s="2" t="s">
        <v>757</v>
      </c>
      <c r="ACJ1" s="2" t="s">
        <v>758</v>
      </c>
      <c r="ACK1" s="2" t="s">
        <v>759</v>
      </c>
      <c r="ACL1" s="2" t="s">
        <v>760</v>
      </c>
      <c r="ACM1" s="2" t="s">
        <v>761</v>
      </c>
      <c r="ACN1" s="2" t="s">
        <v>762</v>
      </c>
      <c r="ACO1" s="2" t="s">
        <v>763</v>
      </c>
      <c r="ACP1" s="2" t="s">
        <v>764</v>
      </c>
      <c r="ACQ1" s="2" t="s">
        <v>765</v>
      </c>
      <c r="ACR1" s="2" t="s">
        <v>766</v>
      </c>
      <c r="ACS1" s="2" t="s">
        <v>767</v>
      </c>
      <c r="ACT1" s="2" t="s">
        <v>768</v>
      </c>
      <c r="ACU1" s="2" t="s">
        <v>769</v>
      </c>
      <c r="ACV1" s="2" t="s">
        <v>770</v>
      </c>
      <c r="ACW1" s="2" t="s">
        <v>771</v>
      </c>
      <c r="ACX1" s="2" t="s">
        <v>772</v>
      </c>
      <c r="ACY1" s="2" t="s">
        <v>773</v>
      </c>
      <c r="ACZ1" s="2" t="s">
        <v>774</v>
      </c>
      <c r="ADA1" s="2" t="s">
        <v>775</v>
      </c>
      <c r="ADB1" s="2" t="s">
        <v>776</v>
      </c>
      <c r="ADC1" s="2" t="s">
        <v>777</v>
      </c>
      <c r="ADD1" s="2" t="s">
        <v>778</v>
      </c>
      <c r="ADE1" s="2" t="s">
        <v>779</v>
      </c>
      <c r="ADF1" s="2" t="s">
        <v>780</v>
      </c>
      <c r="ADG1" s="2" t="s">
        <v>781</v>
      </c>
      <c r="ADH1" s="2" t="s">
        <v>782</v>
      </c>
      <c r="ADI1" s="2" t="s">
        <v>783</v>
      </c>
      <c r="ADJ1" s="2" t="s">
        <v>784</v>
      </c>
      <c r="ADK1" s="2" t="s">
        <v>785</v>
      </c>
      <c r="ADL1" s="2" t="s">
        <v>786</v>
      </c>
      <c r="ADM1" s="2" t="s">
        <v>787</v>
      </c>
      <c r="ADN1" s="2" t="s">
        <v>788</v>
      </c>
      <c r="ADO1" s="2" t="s">
        <v>789</v>
      </c>
      <c r="ADP1" s="2" t="s">
        <v>790</v>
      </c>
      <c r="ADQ1" s="2" t="s">
        <v>791</v>
      </c>
      <c r="ADR1" s="2" t="s">
        <v>792</v>
      </c>
      <c r="ADS1" s="2" t="s">
        <v>793</v>
      </c>
      <c r="ADT1" s="2" t="s">
        <v>794</v>
      </c>
      <c r="ADU1" s="2" t="s">
        <v>795</v>
      </c>
      <c r="ADV1" s="2" t="s">
        <v>796</v>
      </c>
      <c r="ADW1" s="2" t="s">
        <v>797</v>
      </c>
      <c r="ADX1" s="2" t="s">
        <v>798</v>
      </c>
      <c r="ADY1" s="2" t="s">
        <v>799</v>
      </c>
      <c r="ADZ1" s="2" t="s">
        <v>800</v>
      </c>
      <c r="AEA1" s="2" t="s">
        <v>801</v>
      </c>
      <c r="AEB1" s="2" t="s">
        <v>802</v>
      </c>
      <c r="AEC1" s="2" t="s">
        <v>803</v>
      </c>
      <c r="AED1" s="2" t="s">
        <v>804</v>
      </c>
      <c r="AEE1" s="2" t="s">
        <v>805</v>
      </c>
      <c r="AEF1" s="2" t="s">
        <v>806</v>
      </c>
      <c r="AEG1" s="2" t="s">
        <v>807</v>
      </c>
      <c r="AEH1" s="2" t="s">
        <v>808</v>
      </c>
      <c r="AEI1" s="2" t="s">
        <v>809</v>
      </c>
      <c r="AEJ1" s="2" t="s">
        <v>810</v>
      </c>
      <c r="AEK1" s="2" t="s">
        <v>811</v>
      </c>
      <c r="AEL1" s="2" t="s">
        <v>812</v>
      </c>
      <c r="AEM1" s="2" t="s">
        <v>813</v>
      </c>
      <c r="AEN1" s="2" t="s">
        <v>814</v>
      </c>
      <c r="AEO1" s="2" t="s">
        <v>815</v>
      </c>
      <c r="AEP1" s="2" t="s">
        <v>816</v>
      </c>
      <c r="AEQ1" s="2" t="s">
        <v>817</v>
      </c>
      <c r="AER1" s="2" t="s">
        <v>818</v>
      </c>
      <c r="AES1" s="2" t="s">
        <v>819</v>
      </c>
      <c r="AET1" s="2" t="s">
        <v>820</v>
      </c>
      <c r="AEU1" s="2" t="s">
        <v>821</v>
      </c>
      <c r="AEV1" s="2" t="s">
        <v>822</v>
      </c>
      <c r="AEW1" s="2" t="s">
        <v>823</v>
      </c>
      <c r="AEX1" s="2" t="s">
        <v>824</v>
      </c>
      <c r="AEY1" s="2" t="s">
        <v>825</v>
      </c>
      <c r="AEZ1" s="2" t="s">
        <v>826</v>
      </c>
      <c r="AFA1" s="2" t="s">
        <v>827</v>
      </c>
      <c r="AFB1" s="2" t="s">
        <v>828</v>
      </c>
      <c r="AFC1" s="2" t="s">
        <v>829</v>
      </c>
      <c r="AFD1" s="2" t="s">
        <v>830</v>
      </c>
      <c r="AFE1" s="2" t="s">
        <v>831</v>
      </c>
      <c r="AFF1" s="2" t="s">
        <v>832</v>
      </c>
      <c r="AFG1" s="2" t="s">
        <v>833</v>
      </c>
      <c r="AFH1" s="2" t="s">
        <v>834</v>
      </c>
      <c r="AFI1" s="2" t="s">
        <v>835</v>
      </c>
      <c r="AFJ1" s="2" t="s">
        <v>836</v>
      </c>
      <c r="AFK1" s="2" t="s">
        <v>837</v>
      </c>
      <c r="AFL1" s="2" t="s">
        <v>838</v>
      </c>
      <c r="AFM1" s="2" t="s">
        <v>839</v>
      </c>
      <c r="AFN1" s="2" t="s">
        <v>840</v>
      </c>
      <c r="AFO1" s="2" t="s">
        <v>841</v>
      </c>
      <c r="AFP1" s="2" t="s">
        <v>842</v>
      </c>
      <c r="AFQ1" s="2" t="s">
        <v>843</v>
      </c>
      <c r="AFR1" s="2" t="s">
        <v>844</v>
      </c>
      <c r="AFS1" s="2" t="s">
        <v>845</v>
      </c>
      <c r="AFT1" s="2" t="s">
        <v>846</v>
      </c>
      <c r="AFU1" s="2" t="s">
        <v>847</v>
      </c>
      <c r="AFV1" s="2" t="s">
        <v>848</v>
      </c>
      <c r="AFW1" s="2" t="s">
        <v>849</v>
      </c>
      <c r="AFX1" s="2" t="s">
        <v>850</v>
      </c>
      <c r="AFY1" s="2" t="s">
        <v>851</v>
      </c>
      <c r="AFZ1" s="2" t="s">
        <v>852</v>
      </c>
      <c r="AGA1" s="2" t="s">
        <v>853</v>
      </c>
      <c r="AGB1" s="2" t="s">
        <v>854</v>
      </c>
      <c r="AGC1" s="2" t="s">
        <v>855</v>
      </c>
      <c r="AGD1" s="3" t="s">
        <v>856</v>
      </c>
      <c r="AGE1" s="2" t="s">
        <v>857</v>
      </c>
      <c r="AGF1" s="3" t="s">
        <v>858</v>
      </c>
      <c r="AGG1" s="2" t="s">
        <v>859</v>
      </c>
      <c r="AGH1" s="3" t="s">
        <v>860</v>
      </c>
      <c r="AGI1" s="2" t="s">
        <v>861</v>
      </c>
      <c r="AGJ1" s="2" t="s">
        <v>862</v>
      </c>
      <c r="AGK1" s="2" t="s">
        <v>863</v>
      </c>
      <c r="AGL1" s="2" t="s">
        <v>864</v>
      </c>
      <c r="AGM1" s="2" t="s">
        <v>865</v>
      </c>
      <c r="AGN1" s="2" t="s">
        <v>866</v>
      </c>
      <c r="AGO1" s="2" t="s">
        <v>867</v>
      </c>
      <c r="AGP1" s="2" t="s">
        <v>868</v>
      </c>
      <c r="AGQ1" s="2" t="s">
        <v>869</v>
      </c>
      <c r="AGR1" s="2" t="s">
        <v>870</v>
      </c>
      <c r="AGS1" s="2" t="s">
        <v>871</v>
      </c>
      <c r="AGT1" s="2" t="s">
        <v>872</v>
      </c>
      <c r="AGU1" s="2" t="s">
        <v>873</v>
      </c>
      <c r="AGV1" s="2" t="s">
        <v>874</v>
      </c>
      <c r="AGW1" s="2" t="s">
        <v>875</v>
      </c>
      <c r="AGX1" s="2" t="s">
        <v>876</v>
      </c>
      <c r="AGY1" s="2" t="s">
        <v>877</v>
      </c>
      <c r="AGZ1" s="2" t="s">
        <v>878</v>
      </c>
      <c r="AHA1" s="2" t="s">
        <v>879</v>
      </c>
      <c r="AHB1" s="2" t="s">
        <v>880</v>
      </c>
      <c r="AHC1" s="2" t="s">
        <v>881</v>
      </c>
      <c r="AHD1" s="2" t="s">
        <v>882</v>
      </c>
      <c r="AHE1" s="2" t="s">
        <v>883</v>
      </c>
      <c r="AHF1" s="2" t="s">
        <v>884</v>
      </c>
      <c r="AHG1" s="2" t="s">
        <v>885</v>
      </c>
      <c r="AHH1" s="2" t="s">
        <v>886</v>
      </c>
      <c r="AHI1" s="2" t="s">
        <v>887</v>
      </c>
      <c r="AHJ1" s="2" t="s">
        <v>888</v>
      </c>
      <c r="AHK1" s="2" t="s">
        <v>889</v>
      </c>
      <c r="AHL1" s="2" t="s">
        <v>890</v>
      </c>
      <c r="AHM1" s="2" t="s">
        <v>891</v>
      </c>
      <c r="AHN1" s="2" t="s">
        <v>892</v>
      </c>
      <c r="AHO1" s="2" t="s">
        <v>893</v>
      </c>
      <c r="AHP1" s="2" t="s">
        <v>894</v>
      </c>
      <c r="AHQ1" s="2" t="s">
        <v>895</v>
      </c>
      <c r="AHR1" s="2" t="s">
        <v>896</v>
      </c>
      <c r="AHS1" s="2" t="s">
        <v>897</v>
      </c>
      <c r="AHT1" s="2" t="s">
        <v>898</v>
      </c>
      <c r="AHU1" s="2" t="s">
        <v>899</v>
      </c>
      <c r="AHV1" s="2" t="s">
        <v>900</v>
      </c>
      <c r="AHW1" s="2" t="s">
        <v>901</v>
      </c>
      <c r="AHX1" s="2" t="s">
        <v>902</v>
      </c>
      <c r="AHY1" s="2" t="s">
        <v>903</v>
      </c>
      <c r="AHZ1" s="2" t="s">
        <v>904</v>
      </c>
      <c r="AIA1" s="2" t="s">
        <v>905</v>
      </c>
      <c r="AIB1" s="2" t="s">
        <v>906</v>
      </c>
      <c r="AIC1" s="2" t="s">
        <v>907</v>
      </c>
      <c r="AID1" s="2" t="s">
        <v>908</v>
      </c>
      <c r="AIE1" s="2" t="s">
        <v>909</v>
      </c>
      <c r="AIF1" s="2" t="s">
        <v>910</v>
      </c>
      <c r="AIG1" s="2" t="s">
        <v>911</v>
      </c>
      <c r="AIH1" s="2" t="s">
        <v>912</v>
      </c>
      <c r="AII1" s="2" t="s">
        <v>913</v>
      </c>
      <c r="AIJ1" s="2" t="s">
        <v>914</v>
      </c>
      <c r="AIK1" s="2" t="s">
        <v>915</v>
      </c>
      <c r="AIL1" s="2" t="s">
        <v>916</v>
      </c>
      <c r="AIM1" s="2" t="s">
        <v>917</v>
      </c>
      <c r="AIN1" s="2" t="s">
        <v>918</v>
      </c>
      <c r="AIO1" s="2" t="s">
        <v>919</v>
      </c>
      <c r="AIP1" s="2" t="s">
        <v>920</v>
      </c>
      <c r="AIQ1" s="2" t="s">
        <v>921</v>
      </c>
      <c r="AIR1" s="2" t="s">
        <v>922</v>
      </c>
      <c r="AIS1" s="2" t="s">
        <v>923</v>
      </c>
      <c r="AIT1" s="2" t="s">
        <v>924</v>
      </c>
      <c r="AIU1" s="2" t="s">
        <v>925</v>
      </c>
      <c r="AIV1" s="2" t="s">
        <v>926</v>
      </c>
      <c r="AIW1" s="2" t="s">
        <v>927</v>
      </c>
      <c r="AIX1" s="2" t="s">
        <v>928</v>
      </c>
      <c r="AIY1" s="2" t="s">
        <v>929</v>
      </c>
      <c r="AIZ1" s="2" t="s">
        <v>930</v>
      </c>
      <c r="AJA1" s="2" t="s">
        <v>931</v>
      </c>
      <c r="AJB1" s="2" t="s">
        <v>932</v>
      </c>
      <c r="AJC1" s="2" t="s">
        <v>933</v>
      </c>
      <c r="AJD1" s="2" t="s">
        <v>934</v>
      </c>
      <c r="AJE1" s="2" t="s">
        <v>935</v>
      </c>
      <c r="AJF1" s="2" t="s">
        <v>936</v>
      </c>
      <c r="AJG1" s="2" t="s">
        <v>937</v>
      </c>
      <c r="AJH1" s="2" t="s">
        <v>938</v>
      </c>
      <c r="AJI1" s="2" t="s">
        <v>939</v>
      </c>
      <c r="AJJ1" s="2" t="s">
        <v>940</v>
      </c>
      <c r="AJK1" s="2" t="s">
        <v>941</v>
      </c>
      <c r="AJL1" s="2" t="s">
        <v>942</v>
      </c>
      <c r="AJM1" s="2" t="s">
        <v>943</v>
      </c>
      <c r="AJN1" s="2" t="s">
        <v>944</v>
      </c>
      <c r="AJO1" s="2" t="s">
        <v>945</v>
      </c>
      <c r="AJP1" s="2" t="s">
        <v>946</v>
      </c>
      <c r="AJQ1" s="2" t="s">
        <v>947</v>
      </c>
      <c r="AJR1" s="2" t="s">
        <v>948</v>
      </c>
      <c r="AJS1" s="2" t="s">
        <v>949</v>
      </c>
      <c r="AJT1" s="2" t="s">
        <v>950</v>
      </c>
      <c r="AJU1" s="2" t="s">
        <v>951</v>
      </c>
      <c r="AJV1" s="2" t="s">
        <v>952</v>
      </c>
      <c r="AJW1" s="2" t="s">
        <v>953</v>
      </c>
      <c r="AJX1" s="2" t="s">
        <v>954</v>
      </c>
      <c r="AJY1" s="2" t="s">
        <v>955</v>
      </c>
      <c r="AJZ1" s="2" t="s">
        <v>956</v>
      </c>
      <c r="AKA1" s="2" t="s">
        <v>957</v>
      </c>
      <c r="AKB1" s="2" t="s">
        <v>958</v>
      </c>
      <c r="AKC1" s="2" t="s">
        <v>959</v>
      </c>
      <c r="AKD1" s="2" t="s">
        <v>960</v>
      </c>
      <c r="AKE1" s="2" t="s">
        <v>961</v>
      </c>
      <c r="AKF1" s="2" t="s">
        <v>962</v>
      </c>
      <c r="AKG1" s="2" t="s">
        <v>963</v>
      </c>
      <c r="AKH1" s="2" t="s">
        <v>964</v>
      </c>
      <c r="AKI1" s="2" t="s">
        <v>965</v>
      </c>
      <c r="AKJ1" s="2" t="s">
        <v>966</v>
      </c>
      <c r="AKK1" s="2" t="s">
        <v>967</v>
      </c>
      <c r="AKL1" s="2" t="s">
        <v>968</v>
      </c>
      <c r="AKM1" s="2" t="s">
        <v>969</v>
      </c>
      <c r="AKN1" s="2" t="s">
        <v>970</v>
      </c>
      <c r="AKO1" s="2" t="s">
        <v>971</v>
      </c>
      <c r="AKP1" s="2" t="s">
        <v>972</v>
      </c>
      <c r="AKQ1" s="2" t="s">
        <v>973</v>
      </c>
      <c r="AKR1" s="2" t="s">
        <v>974</v>
      </c>
      <c r="AKS1" s="2" t="s">
        <v>975</v>
      </c>
      <c r="AKT1" s="2" t="s">
        <v>976</v>
      </c>
      <c r="AKU1" s="2" t="s">
        <v>977</v>
      </c>
      <c r="AKV1" s="2" t="s">
        <v>978</v>
      </c>
      <c r="AKW1" s="2" t="s">
        <v>979</v>
      </c>
      <c r="AKX1" s="2" t="s">
        <v>980</v>
      </c>
      <c r="AKY1" s="2" t="s">
        <v>981</v>
      </c>
      <c r="AKZ1" s="2" t="s">
        <v>982</v>
      </c>
      <c r="ALA1" s="2" t="s">
        <v>983</v>
      </c>
      <c r="ALB1" s="2" t="s">
        <v>984</v>
      </c>
      <c r="ALC1" s="2" t="s">
        <v>985</v>
      </c>
      <c r="ALD1" s="2" t="s">
        <v>986</v>
      </c>
      <c r="ALE1" s="2" t="s">
        <v>987</v>
      </c>
      <c r="ALF1" s="2" t="s">
        <v>988</v>
      </c>
      <c r="ALG1" s="2" t="s">
        <v>989</v>
      </c>
      <c r="ALH1" s="2" t="s">
        <v>990</v>
      </c>
      <c r="ALI1" s="2" t="s">
        <v>991</v>
      </c>
      <c r="ALJ1" s="2" t="s">
        <v>992</v>
      </c>
      <c r="ALK1" s="2" t="s">
        <v>993</v>
      </c>
      <c r="ALL1" s="2" t="s">
        <v>994</v>
      </c>
      <c r="ALM1" s="2" t="s">
        <v>995</v>
      </c>
      <c r="ALN1" s="2" t="s">
        <v>996</v>
      </c>
      <c r="ALO1" s="2" t="s">
        <v>997</v>
      </c>
      <c r="ALP1" s="2" t="s">
        <v>998</v>
      </c>
      <c r="ALQ1" s="2" t="s">
        <v>999</v>
      </c>
      <c r="ALR1" s="2" t="s">
        <v>1000</v>
      </c>
      <c r="ALS1" s="2" t="s">
        <v>1001</v>
      </c>
      <c r="ALT1" s="2" t="s">
        <v>1002</v>
      </c>
      <c r="ALU1" s="2" t="s">
        <v>1003</v>
      </c>
      <c r="ALV1" s="2" t="s">
        <v>1004</v>
      </c>
      <c r="ALW1" s="2" t="s">
        <v>1005</v>
      </c>
      <c r="ALX1" s="2" t="s">
        <v>1006</v>
      </c>
      <c r="ALY1" s="2" t="s">
        <v>1007</v>
      </c>
      <c r="ALZ1" s="2" t="s">
        <v>1008</v>
      </c>
      <c r="AMA1" s="2" t="s">
        <v>1009</v>
      </c>
      <c r="AMB1" s="2" t="s">
        <v>1010</v>
      </c>
      <c r="AMC1" s="2" t="s">
        <v>1011</v>
      </c>
      <c r="AMD1" s="2" t="s">
        <v>1012</v>
      </c>
      <c r="AME1" s="2" t="s">
        <v>1013</v>
      </c>
      <c r="AMF1" s="2" t="s">
        <v>1014</v>
      </c>
      <c r="AMG1" s="2" t="s">
        <v>1015</v>
      </c>
      <c r="AMH1" s="2" t="s">
        <v>1016</v>
      </c>
      <c r="AMI1" s="2" t="s">
        <v>1017</v>
      </c>
      <c r="AMJ1" s="2" t="s">
        <v>1018</v>
      </c>
      <c r="AMK1" s="2" t="s">
        <v>1019</v>
      </c>
      <c r="AML1" s="2" t="s">
        <v>1020</v>
      </c>
      <c r="AMM1" s="2" t="s">
        <v>1021</v>
      </c>
      <c r="AMN1" s="2" t="s">
        <v>1022</v>
      </c>
      <c r="AMO1" s="2" t="s">
        <v>1023</v>
      </c>
      <c r="AMP1" s="2" t="s">
        <v>1024</v>
      </c>
      <c r="AMQ1" s="2" t="s">
        <v>1025</v>
      </c>
      <c r="AMR1" s="2" t="s">
        <v>1026</v>
      </c>
      <c r="AMS1" s="2" t="s">
        <v>1027</v>
      </c>
      <c r="AMT1" s="2" t="s">
        <v>1028</v>
      </c>
      <c r="AMU1" s="2" t="s">
        <v>1029</v>
      </c>
      <c r="AMV1" s="2" t="s">
        <v>1030</v>
      </c>
      <c r="AMW1" s="2" t="s">
        <v>1031</v>
      </c>
      <c r="AMX1" s="2" t="s">
        <v>1032</v>
      </c>
      <c r="AMY1" s="2" t="s">
        <v>1033</v>
      </c>
      <c r="AMZ1" s="2" t="s">
        <v>1034</v>
      </c>
      <c r="ANA1" s="2" t="s">
        <v>1035</v>
      </c>
      <c r="ANB1" s="2" t="s">
        <v>1036</v>
      </c>
      <c r="ANC1" s="2" t="s">
        <v>1037</v>
      </c>
      <c r="AND1" s="2" t="s">
        <v>1038</v>
      </c>
      <c r="ANE1" s="2" t="s">
        <v>1039</v>
      </c>
      <c r="ANF1" s="2" t="s">
        <v>1040</v>
      </c>
      <c r="ANG1" s="2" t="s">
        <v>1041</v>
      </c>
      <c r="ANH1" s="2" t="s">
        <v>1042</v>
      </c>
      <c r="ANI1" s="2" t="s">
        <v>1043</v>
      </c>
      <c r="ANJ1" s="2" t="s">
        <v>1044</v>
      </c>
      <c r="ANK1" s="2" t="s">
        <v>1045</v>
      </c>
      <c r="ANL1" s="2" t="s">
        <v>1046</v>
      </c>
      <c r="ANM1" s="2" t="s">
        <v>1047</v>
      </c>
      <c r="ANN1" s="2" t="s">
        <v>1048</v>
      </c>
      <c r="ANO1" s="2" t="s">
        <v>1049</v>
      </c>
      <c r="ANP1" s="2" t="s">
        <v>1050</v>
      </c>
      <c r="ANQ1" s="2" t="s">
        <v>1051</v>
      </c>
      <c r="ANR1" s="2" t="s">
        <v>1052</v>
      </c>
      <c r="ANS1" s="2" t="s">
        <v>1053</v>
      </c>
      <c r="ANT1" s="2" t="s">
        <v>1054</v>
      </c>
      <c r="ANU1" s="2" t="s">
        <v>1055</v>
      </c>
      <c r="ANV1" s="2" t="s">
        <v>1056</v>
      </c>
      <c r="ANW1" s="2" t="s">
        <v>1057</v>
      </c>
      <c r="ANX1" s="2" t="s">
        <v>1058</v>
      </c>
      <c r="ANY1" s="2" t="s">
        <v>1059</v>
      </c>
      <c r="ANZ1" s="2" t="s">
        <v>1060</v>
      </c>
      <c r="AOA1" s="2" t="s">
        <v>1061</v>
      </c>
      <c r="AOB1" s="2" t="s">
        <v>1062</v>
      </c>
      <c r="AOC1" s="2" t="s">
        <v>1063</v>
      </c>
      <c r="AOD1" s="2" t="s">
        <v>1064</v>
      </c>
      <c r="AOE1" s="2" t="s">
        <v>1065</v>
      </c>
      <c r="AOF1" s="2" t="s">
        <v>1066</v>
      </c>
      <c r="AOG1" s="2" t="s">
        <v>1067</v>
      </c>
      <c r="AOH1" s="2" t="s">
        <v>1068</v>
      </c>
      <c r="AOI1" s="2" t="s">
        <v>1069</v>
      </c>
      <c r="AOJ1" s="2" t="s">
        <v>1070</v>
      </c>
      <c r="AOK1" s="2" t="s">
        <v>1071</v>
      </c>
      <c r="AOL1" s="2" t="s">
        <v>1072</v>
      </c>
      <c r="AOM1" s="2" t="s">
        <v>1073</v>
      </c>
      <c r="AON1" s="2" t="s">
        <v>1074</v>
      </c>
      <c r="AOO1" s="2" t="s">
        <v>1075</v>
      </c>
      <c r="AOP1" s="2" t="s">
        <v>1076</v>
      </c>
      <c r="AOQ1" s="2" t="s">
        <v>1077</v>
      </c>
      <c r="AOR1" s="2" t="s">
        <v>1078</v>
      </c>
      <c r="AOS1" s="2" t="s">
        <v>1079</v>
      </c>
      <c r="AOT1" s="2" t="s">
        <v>1080</v>
      </c>
      <c r="AOU1" s="2" t="s">
        <v>1081</v>
      </c>
      <c r="AOV1" s="2" t="s">
        <v>1082</v>
      </c>
      <c r="AOW1" s="2" t="s">
        <v>1083</v>
      </c>
      <c r="AOX1" s="2" t="s">
        <v>1084</v>
      </c>
      <c r="AOY1" s="2" t="s">
        <v>1085</v>
      </c>
      <c r="AOZ1" s="2" t="s">
        <v>1086</v>
      </c>
      <c r="APA1" s="2" t="s">
        <v>1087</v>
      </c>
      <c r="APB1" s="2" t="s">
        <v>1088</v>
      </c>
      <c r="APC1" s="2" t="s">
        <v>1089</v>
      </c>
      <c r="APD1" s="2" t="s">
        <v>1090</v>
      </c>
      <c r="APE1" s="2" t="s">
        <v>1091</v>
      </c>
      <c r="APF1" s="2" t="s">
        <v>1092</v>
      </c>
      <c r="APG1" s="2" t="s">
        <v>1093</v>
      </c>
      <c r="APH1" s="2" t="s">
        <v>1094</v>
      </c>
      <c r="API1" s="2" t="s">
        <v>1095</v>
      </c>
      <c r="APJ1" s="2" t="s">
        <v>1096</v>
      </c>
      <c r="APK1" s="2" t="s">
        <v>1097</v>
      </c>
      <c r="APL1" s="2" t="s">
        <v>1098</v>
      </c>
      <c r="APM1" s="2" t="s">
        <v>1099</v>
      </c>
      <c r="APN1" s="2" t="s">
        <v>1100</v>
      </c>
      <c r="APO1" s="2" t="s">
        <v>1101</v>
      </c>
      <c r="APP1" s="2" t="s">
        <v>1102</v>
      </c>
      <c r="APQ1" s="2" t="s">
        <v>1103</v>
      </c>
      <c r="APR1" s="2" t="s">
        <v>1104</v>
      </c>
      <c r="APS1" s="2" t="s">
        <v>1105</v>
      </c>
      <c r="APT1" s="2" t="s">
        <v>1106</v>
      </c>
      <c r="APU1" s="2" t="s">
        <v>1107</v>
      </c>
      <c r="APV1" s="2" t="s">
        <v>1108</v>
      </c>
      <c r="APW1" s="2" t="s">
        <v>1109</v>
      </c>
      <c r="APX1" s="2" t="s">
        <v>1110</v>
      </c>
      <c r="APY1" s="2" t="s">
        <v>1111</v>
      </c>
      <c r="APZ1" s="2" t="s">
        <v>1112</v>
      </c>
      <c r="AQA1" s="2" t="s">
        <v>1113</v>
      </c>
      <c r="AQB1" s="2" t="s">
        <v>1114</v>
      </c>
      <c r="AQC1" s="2" t="s">
        <v>1115</v>
      </c>
      <c r="AQD1" s="2" t="s">
        <v>1116</v>
      </c>
      <c r="AQE1" s="2" t="s">
        <v>1117</v>
      </c>
      <c r="AQF1" s="2" t="s">
        <v>1118</v>
      </c>
      <c r="AQG1" s="2" t="s">
        <v>1119</v>
      </c>
      <c r="AQH1" s="2" t="s">
        <v>1120</v>
      </c>
      <c r="AQI1" s="2" t="s">
        <v>1121</v>
      </c>
      <c r="AQJ1" s="2" t="s">
        <v>1122</v>
      </c>
      <c r="AQK1" s="2" t="s">
        <v>1123</v>
      </c>
      <c r="AQL1" s="2" t="s">
        <v>1124</v>
      </c>
      <c r="AQM1" s="2" t="s">
        <v>1125</v>
      </c>
      <c r="AQN1" s="2" t="s">
        <v>1126</v>
      </c>
      <c r="AQO1" s="2" t="s">
        <v>1127</v>
      </c>
      <c r="AQP1" s="2" t="s">
        <v>1128</v>
      </c>
      <c r="AQQ1" s="2" t="s">
        <v>1129</v>
      </c>
      <c r="AQR1" s="2" t="s">
        <v>1130</v>
      </c>
      <c r="AQS1" s="2" t="s">
        <v>1131</v>
      </c>
      <c r="AQT1" s="2" t="s">
        <v>1132</v>
      </c>
      <c r="AQU1" s="2" t="s">
        <v>1133</v>
      </c>
      <c r="AQV1" s="2" t="s">
        <v>1134</v>
      </c>
      <c r="AQW1" s="2" t="s">
        <v>1135</v>
      </c>
      <c r="AQX1" s="2" t="s">
        <v>1136</v>
      </c>
      <c r="AQY1" s="2" t="s">
        <v>1137</v>
      </c>
      <c r="AQZ1" s="2" t="s">
        <v>1138</v>
      </c>
      <c r="ARA1" s="2" t="s">
        <v>1139</v>
      </c>
      <c r="ARB1" s="2" t="s">
        <v>1140</v>
      </c>
      <c r="ARC1" s="2" t="s">
        <v>1141</v>
      </c>
      <c r="ARD1" s="2" t="s">
        <v>1142</v>
      </c>
      <c r="ARE1" s="2" t="s">
        <v>1143</v>
      </c>
      <c r="ARF1" s="2" t="s">
        <v>1144</v>
      </c>
      <c r="ARG1" s="2" t="s">
        <v>1145</v>
      </c>
      <c r="ARH1" s="2" t="s">
        <v>1146</v>
      </c>
      <c r="ARI1" s="2" t="s">
        <v>1147</v>
      </c>
      <c r="ARJ1" s="2" t="s">
        <v>1148</v>
      </c>
      <c r="ARK1" s="2" t="s">
        <v>1149</v>
      </c>
      <c r="ARL1" s="2" t="s">
        <v>1150</v>
      </c>
      <c r="ARM1" s="2" t="s">
        <v>1151</v>
      </c>
      <c r="ARN1" s="2" t="s">
        <v>1152</v>
      </c>
      <c r="ARO1" s="2" t="s">
        <v>1153</v>
      </c>
      <c r="ARP1" s="2" t="s">
        <v>1154</v>
      </c>
      <c r="ARQ1" s="2" t="s">
        <v>1155</v>
      </c>
      <c r="ARR1" s="2" t="s">
        <v>1156</v>
      </c>
      <c r="ARS1" s="2" t="s">
        <v>1157</v>
      </c>
      <c r="ART1" s="2" t="s">
        <v>1158</v>
      </c>
      <c r="ARU1" s="2" t="s">
        <v>1159</v>
      </c>
      <c r="ARV1" s="2" t="s">
        <v>1160</v>
      </c>
      <c r="ARW1" s="2" t="s">
        <v>1161</v>
      </c>
      <c r="ARX1" s="2" t="s">
        <v>1162</v>
      </c>
      <c r="ARY1" s="2" t="s">
        <v>1163</v>
      </c>
      <c r="ARZ1" s="2" t="s">
        <v>1164</v>
      </c>
      <c r="ASA1" s="2" t="s">
        <v>1165</v>
      </c>
      <c r="ASB1" s="2" t="s">
        <v>1166</v>
      </c>
      <c r="ASC1" s="2" t="s">
        <v>1167</v>
      </c>
      <c r="ASD1" s="2" t="s">
        <v>1168</v>
      </c>
      <c r="ASE1" s="2" t="s">
        <v>1169</v>
      </c>
      <c r="ASF1" s="2" t="s">
        <v>1170</v>
      </c>
      <c r="ASG1" s="2" t="s">
        <v>1171</v>
      </c>
      <c r="ASH1" s="2" t="s">
        <v>1172</v>
      </c>
      <c r="ASI1" s="2" t="s">
        <v>1173</v>
      </c>
      <c r="ASJ1" s="2" t="s">
        <v>1174</v>
      </c>
      <c r="ASK1" s="2" t="s">
        <v>1175</v>
      </c>
      <c r="ASL1" s="2" t="s">
        <v>1176</v>
      </c>
      <c r="ASM1" s="2" t="s">
        <v>1177</v>
      </c>
      <c r="ASN1" s="2" t="s">
        <v>1178</v>
      </c>
      <c r="ASO1" s="2" t="s">
        <v>1179</v>
      </c>
      <c r="ASP1" s="2" t="s">
        <v>1180</v>
      </c>
      <c r="ASQ1" s="2" t="s">
        <v>1181</v>
      </c>
      <c r="ASR1" s="2" t="s">
        <v>1182</v>
      </c>
      <c r="ASS1" s="2" t="s">
        <v>1183</v>
      </c>
      <c r="AST1" s="2" t="s">
        <v>1184</v>
      </c>
      <c r="ASU1" s="2" t="s">
        <v>1185</v>
      </c>
      <c r="ASV1" s="2" t="s">
        <v>1186</v>
      </c>
      <c r="ASW1" s="2" t="s">
        <v>1187</v>
      </c>
      <c r="ASX1" s="2" t="s">
        <v>1188</v>
      </c>
      <c r="ASY1" s="2" t="s">
        <v>1189</v>
      </c>
      <c r="ASZ1" s="2" t="s">
        <v>1190</v>
      </c>
      <c r="ATA1" s="2" t="s">
        <v>1191</v>
      </c>
      <c r="ATB1" s="2" t="s">
        <v>1192</v>
      </c>
      <c r="ATC1" s="2" t="s">
        <v>1193</v>
      </c>
      <c r="ATD1" s="2" t="s">
        <v>1194</v>
      </c>
      <c r="ATE1" s="2" t="s">
        <v>1195</v>
      </c>
      <c r="ATF1" s="2" t="s">
        <v>1196</v>
      </c>
      <c r="ATG1" s="2" t="s">
        <v>1197</v>
      </c>
      <c r="ATH1" s="2" t="s">
        <v>1198</v>
      </c>
      <c r="ATI1" s="2" t="s">
        <v>1199</v>
      </c>
      <c r="ATJ1" s="2" t="s">
        <v>1200</v>
      </c>
      <c r="ATK1" s="2" t="s">
        <v>1201</v>
      </c>
      <c r="ATL1" s="2" t="s">
        <v>1202</v>
      </c>
      <c r="ATM1" s="2" t="s">
        <v>1203</v>
      </c>
      <c r="ATN1" s="2" t="s">
        <v>1204</v>
      </c>
      <c r="ATO1" s="2" t="s">
        <v>1205</v>
      </c>
      <c r="ATP1" s="2" t="s">
        <v>1206</v>
      </c>
      <c r="ATQ1" s="2" t="s">
        <v>1207</v>
      </c>
      <c r="ATR1" s="2" t="s">
        <v>1208</v>
      </c>
      <c r="ATS1" s="2" t="s">
        <v>1209</v>
      </c>
      <c r="ATT1" s="2" t="s">
        <v>1210</v>
      </c>
      <c r="ATU1" s="2" t="s">
        <v>1211</v>
      </c>
      <c r="ATV1" s="2" t="s">
        <v>1212</v>
      </c>
      <c r="ATW1" s="2" t="s">
        <v>1213</v>
      </c>
      <c r="ATX1" s="2" t="s">
        <v>1214</v>
      </c>
      <c r="ATY1" s="2" t="s">
        <v>1215</v>
      </c>
      <c r="ATZ1" s="2" t="s">
        <v>1216</v>
      </c>
      <c r="AUA1" s="2" t="s">
        <v>1217</v>
      </c>
      <c r="AUB1" s="2" t="s">
        <v>1218</v>
      </c>
      <c r="AUC1" s="2" t="s">
        <v>1219</v>
      </c>
      <c r="AUD1" s="2" t="s">
        <v>1220</v>
      </c>
      <c r="AUE1" s="2" t="s">
        <v>1221</v>
      </c>
      <c r="AUF1" s="2" t="s">
        <v>1222</v>
      </c>
      <c r="AUG1" s="2" t="s">
        <v>1223</v>
      </c>
      <c r="AUH1" s="2" t="s">
        <v>1224</v>
      </c>
      <c r="AUI1" s="2" t="s">
        <v>1225</v>
      </c>
      <c r="AUJ1" s="2" t="s">
        <v>1226</v>
      </c>
      <c r="AUK1" s="2" t="s">
        <v>1227</v>
      </c>
      <c r="AUL1" s="2" t="s">
        <v>1228</v>
      </c>
      <c r="AUM1" s="2" t="s">
        <v>1229</v>
      </c>
      <c r="AUN1" s="2" t="s">
        <v>1230</v>
      </c>
      <c r="AUO1" s="2" t="s">
        <v>1231</v>
      </c>
      <c r="AUP1" s="2" t="s">
        <v>1232</v>
      </c>
      <c r="AUQ1" s="2" t="s">
        <v>1233</v>
      </c>
      <c r="AUR1" s="2" t="s">
        <v>1234</v>
      </c>
      <c r="AUS1" s="2" t="s">
        <v>1235</v>
      </c>
      <c r="AUT1" s="2" t="s">
        <v>1236</v>
      </c>
      <c r="AUU1" s="2" t="s">
        <v>1237</v>
      </c>
      <c r="AUV1" s="2" t="s">
        <v>1238</v>
      </c>
      <c r="AUW1" s="2" t="s">
        <v>1239</v>
      </c>
      <c r="AUX1" s="2" t="s">
        <v>1240</v>
      </c>
      <c r="AUY1" s="2" t="s">
        <v>1241</v>
      </c>
      <c r="AUZ1" s="2" t="s">
        <v>1242</v>
      </c>
      <c r="AVA1" s="2" t="s">
        <v>1243</v>
      </c>
      <c r="AVB1" s="2" t="s">
        <v>1244</v>
      </c>
      <c r="AVC1" s="2" t="s">
        <v>1245</v>
      </c>
      <c r="AVD1" s="2" t="s">
        <v>1246</v>
      </c>
      <c r="AVE1" s="2" t="s">
        <v>1247</v>
      </c>
      <c r="AVF1" s="2" t="s">
        <v>1248</v>
      </c>
      <c r="AVG1" s="2" t="s">
        <v>1249</v>
      </c>
      <c r="AVH1" s="2" t="s">
        <v>1250</v>
      </c>
      <c r="AVI1" s="2" t="s">
        <v>1251</v>
      </c>
      <c r="AVJ1" s="2" t="s">
        <v>1252</v>
      </c>
      <c r="AVK1" s="2" t="s">
        <v>1253</v>
      </c>
      <c r="AVL1" s="2" t="s">
        <v>1254</v>
      </c>
      <c r="AVM1" s="2" t="s">
        <v>1255</v>
      </c>
      <c r="AVN1" s="2" t="s">
        <v>1256</v>
      </c>
      <c r="AVO1" s="2" t="s">
        <v>1257</v>
      </c>
      <c r="AVP1" s="2" t="s">
        <v>1258</v>
      </c>
      <c r="AVQ1" s="2" t="s">
        <v>1259</v>
      </c>
      <c r="AVR1" s="2" t="s">
        <v>1260</v>
      </c>
      <c r="AVS1" s="2" t="s">
        <v>1261</v>
      </c>
      <c r="AVT1" s="2" t="s">
        <v>1262</v>
      </c>
      <c r="AVU1" s="2" t="s">
        <v>1263</v>
      </c>
      <c r="AVV1" s="2" t="s">
        <v>1264</v>
      </c>
      <c r="AVW1" s="2" t="s">
        <v>1265</v>
      </c>
      <c r="AVX1" s="2" t="s">
        <v>1266</v>
      </c>
      <c r="AVY1" s="2" t="s">
        <v>1267</v>
      </c>
      <c r="AVZ1" s="2" t="s">
        <v>1268</v>
      </c>
      <c r="AWA1" s="2" t="s">
        <v>1269</v>
      </c>
      <c r="AWB1" s="2" t="s">
        <v>1270</v>
      </c>
      <c r="AWC1" s="3" t="s">
        <v>1271</v>
      </c>
      <c r="AWD1" s="2" t="s">
        <v>1272</v>
      </c>
      <c r="AWE1" s="3" t="s">
        <v>1273</v>
      </c>
      <c r="AWF1" s="2" t="s">
        <v>1274</v>
      </c>
      <c r="AWG1" s="3" t="s">
        <v>1275</v>
      </c>
      <c r="AWH1" s="2" t="s">
        <v>1276</v>
      </c>
      <c r="AWI1" s="2" t="s">
        <v>1277</v>
      </c>
      <c r="AWJ1" s="2" t="s">
        <v>1278</v>
      </c>
      <c r="AWK1" s="2" t="s">
        <v>1279</v>
      </c>
      <c r="AWL1" s="2" t="s">
        <v>1280</v>
      </c>
      <c r="AWM1" s="2" t="s">
        <v>1281</v>
      </c>
      <c r="AWN1" s="2" t="s">
        <v>1282</v>
      </c>
      <c r="AWO1" s="2" t="s">
        <v>1283</v>
      </c>
      <c r="AWP1" s="2" t="s">
        <v>1284</v>
      </c>
      <c r="AWQ1" s="2" t="s">
        <v>1285</v>
      </c>
      <c r="AWR1" s="2" t="s">
        <v>1286</v>
      </c>
      <c r="AWS1" s="2" t="s">
        <v>1287</v>
      </c>
      <c r="AWT1" s="2" t="s">
        <v>1288</v>
      </c>
      <c r="AWU1" s="2" t="s">
        <v>1289</v>
      </c>
      <c r="AWV1" s="2" t="s">
        <v>1290</v>
      </c>
      <c r="AWW1" s="2" t="s">
        <v>1291</v>
      </c>
      <c r="AWX1" s="2" t="s">
        <v>1292</v>
      </c>
      <c r="AWY1" s="2" t="s">
        <v>1293</v>
      </c>
      <c r="AWZ1" s="2" t="s">
        <v>1294</v>
      </c>
      <c r="AXA1" s="2" t="s">
        <v>1295</v>
      </c>
      <c r="AXB1" s="2" t="s">
        <v>1296</v>
      </c>
      <c r="AXC1" s="2" t="s">
        <v>1297</v>
      </c>
      <c r="AXD1" s="2" t="s">
        <v>1298</v>
      </c>
      <c r="AXE1" s="2" t="s">
        <v>1299</v>
      </c>
      <c r="AXF1" s="2" t="s">
        <v>1300</v>
      </c>
      <c r="AXG1" s="2" t="s">
        <v>1301</v>
      </c>
      <c r="AXH1" s="2" t="s">
        <v>1302</v>
      </c>
      <c r="AXI1" s="2" t="s">
        <v>1303</v>
      </c>
      <c r="AXJ1" s="2" t="s">
        <v>1304</v>
      </c>
      <c r="AXK1" s="2" t="s">
        <v>1305</v>
      </c>
      <c r="AXL1" s="2" t="s">
        <v>1306</v>
      </c>
      <c r="AXM1" s="2" t="s">
        <v>1307</v>
      </c>
      <c r="AXN1" s="2" t="s">
        <v>1308</v>
      </c>
      <c r="AXO1" s="2" t="s">
        <v>1309</v>
      </c>
      <c r="AXP1" s="2" t="s">
        <v>1310</v>
      </c>
      <c r="AXQ1" s="2" t="s">
        <v>1311</v>
      </c>
      <c r="AXR1" s="2" t="s">
        <v>1312</v>
      </c>
      <c r="AXS1" s="2" t="s">
        <v>1313</v>
      </c>
      <c r="AXT1" s="2" t="s">
        <v>1314</v>
      </c>
      <c r="AXU1" s="2" t="s">
        <v>1315</v>
      </c>
      <c r="AXV1" s="2" t="s">
        <v>1316</v>
      </c>
      <c r="AXW1" s="2" t="s">
        <v>1317</v>
      </c>
      <c r="AXX1" s="2" t="s">
        <v>1318</v>
      </c>
      <c r="AXY1" s="2" t="s">
        <v>1319</v>
      </c>
      <c r="AXZ1" s="2" t="s">
        <v>1320</v>
      </c>
      <c r="AYA1" s="2" t="s">
        <v>1321</v>
      </c>
      <c r="AYB1" s="2" t="s">
        <v>1322</v>
      </c>
      <c r="AYC1" s="2" t="s">
        <v>1323</v>
      </c>
      <c r="AYD1" s="2" t="s">
        <v>1324</v>
      </c>
      <c r="AYE1" s="2" t="s">
        <v>1325</v>
      </c>
      <c r="AYF1" s="2" t="s">
        <v>1326</v>
      </c>
      <c r="AYG1" s="2" t="s">
        <v>1327</v>
      </c>
      <c r="AYH1" s="2" t="s">
        <v>1328</v>
      </c>
      <c r="AYI1" s="2" t="s">
        <v>1329</v>
      </c>
      <c r="AYJ1" s="2" t="s">
        <v>1330</v>
      </c>
      <c r="AYK1" s="2" t="s">
        <v>1331</v>
      </c>
      <c r="AYL1" s="2" t="s">
        <v>1332</v>
      </c>
      <c r="AYM1" s="2" t="s">
        <v>1333</v>
      </c>
      <c r="AYN1" s="2" t="s">
        <v>1334</v>
      </c>
      <c r="AYO1" s="2" t="s">
        <v>1335</v>
      </c>
      <c r="AYP1" s="2" t="s">
        <v>1336</v>
      </c>
      <c r="AYQ1" s="2" t="s">
        <v>1337</v>
      </c>
      <c r="AYR1" s="2" t="s">
        <v>1338</v>
      </c>
      <c r="AYS1" s="2" t="s">
        <v>1339</v>
      </c>
      <c r="AYT1" s="2" t="s">
        <v>1340</v>
      </c>
      <c r="AYU1" s="2" t="s">
        <v>1341</v>
      </c>
      <c r="AYV1" s="2" t="s">
        <v>1342</v>
      </c>
      <c r="AYW1" s="2" t="s">
        <v>1343</v>
      </c>
      <c r="AYX1" s="2" t="s">
        <v>1344</v>
      </c>
      <c r="AYY1" s="2" t="s">
        <v>1345</v>
      </c>
      <c r="AYZ1" s="2" t="s">
        <v>1346</v>
      </c>
      <c r="AZA1" s="2" t="s">
        <v>1347</v>
      </c>
      <c r="AZB1" s="2" t="s">
        <v>1348</v>
      </c>
      <c r="AZC1" s="2" t="s">
        <v>1349</v>
      </c>
      <c r="AZD1" s="2" t="s">
        <v>1350</v>
      </c>
      <c r="AZE1" s="2" t="s">
        <v>1351</v>
      </c>
      <c r="AZF1" s="2" t="s">
        <v>1352</v>
      </c>
      <c r="AZG1" s="2" t="s">
        <v>1353</v>
      </c>
      <c r="AZH1" s="2" t="s">
        <v>1354</v>
      </c>
      <c r="AZI1" s="2" t="s">
        <v>1355</v>
      </c>
      <c r="AZJ1" s="2" t="s">
        <v>1356</v>
      </c>
      <c r="AZK1" s="2" t="s">
        <v>1357</v>
      </c>
      <c r="AZL1" s="2" t="s">
        <v>1358</v>
      </c>
      <c r="AZM1" s="2" t="s">
        <v>1359</v>
      </c>
      <c r="AZN1" s="2" t="s">
        <v>1360</v>
      </c>
      <c r="AZO1" s="2" t="s">
        <v>1361</v>
      </c>
      <c r="AZP1" s="2" t="s">
        <v>1362</v>
      </c>
      <c r="AZQ1" s="2" t="s">
        <v>1363</v>
      </c>
      <c r="AZR1" s="2" t="s">
        <v>1364</v>
      </c>
      <c r="AZS1" s="2" t="s">
        <v>1365</v>
      </c>
      <c r="AZT1" s="2" t="s">
        <v>1366</v>
      </c>
      <c r="AZU1" s="2" t="s">
        <v>1367</v>
      </c>
      <c r="AZV1" s="2" t="s">
        <v>1368</v>
      </c>
      <c r="AZW1" s="2" t="s">
        <v>1369</v>
      </c>
      <c r="AZX1" s="2" t="s">
        <v>1370</v>
      </c>
      <c r="AZY1" s="2" t="s">
        <v>1371</v>
      </c>
      <c r="AZZ1" s="2" t="s">
        <v>1372</v>
      </c>
      <c r="BAA1" s="2" t="s">
        <v>1373</v>
      </c>
      <c r="BAB1" s="2" t="s">
        <v>1374</v>
      </c>
      <c r="BAC1" s="2" t="s">
        <v>1375</v>
      </c>
      <c r="BAD1" s="2" t="s">
        <v>1376</v>
      </c>
      <c r="BAE1" s="2" t="s">
        <v>1377</v>
      </c>
      <c r="BAF1" s="2" t="s">
        <v>1378</v>
      </c>
      <c r="BAG1" s="2" t="s">
        <v>1379</v>
      </c>
      <c r="BAH1" s="2" t="s">
        <v>1380</v>
      </c>
      <c r="BAI1" s="2" t="s">
        <v>1381</v>
      </c>
      <c r="BAJ1" s="2" t="s">
        <v>1382</v>
      </c>
      <c r="BAK1" s="2" t="s">
        <v>1383</v>
      </c>
      <c r="BAL1" s="2" t="s">
        <v>1384</v>
      </c>
      <c r="BAM1" s="2" t="s">
        <v>1385</v>
      </c>
      <c r="BAN1" s="2" t="s">
        <v>1386</v>
      </c>
      <c r="BAO1" s="2" t="s">
        <v>1387</v>
      </c>
      <c r="BAP1" s="2" t="s">
        <v>1388</v>
      </c>
      <c r="BAQ1" s="2" t="s">
        <v>1389</v>
      </c>
      <c r="BAR1" s="2" t="s">
        <v>1390</v>
      </c>
      <c r="BAS1" s="2" t="s">
        <v>1391</v>
      </c>
      <c r="BAT1" s="2" t="s">
        <v>1392</v>
      </c>
      <c r="BAU1" s="2" t="s">
        <v>1393</v>
      </c>
      <c r="BAV1" s="2" t="s">
        <v>1394</v>
      </c>
      <c r="BAW1" s="2" t="s">
        <v>1395</v>
      </c>
      <c r="BAX1" s="2" t="s">
        <v>1396</v>
      </c>
      <c r="BAY1" s="2" t="s">
        <v>1397</v>
      </c>
      <c r="BAZ1" s="2" t="s">
        <v>1398</v>
      </c>
      <c r="BBA1" s="2" t="s">
        <v>1399</v>
      </c>
      <c r="BBB1" s="2" t="s">
        <v>1400</v>
      </c>
      <c r="BBC1" s="2" t="s">
        <v>1401</v>
      </c>
      <c r="BBD1" s="2" t="s">
        <v>1402</v>
      </c>
      <c r="BBE1" s="2" t="s">
        <v>1403</v>
      </c>
      <c r="BBF1" s="2" t="s">
        <v>1404</v>
      </c>
      <c r="BBG1" s="2" t="s">
        <v>1405</v>
      </c>
      <c r="BBH1" s="2" t="s">
        <v>1406</v>
      </c>
      <c r="BBI1" s="2" t="s">
        <v>1407</v>
      </c>
      <c r="BBJ1" s="2" t="s">
        <v>1408</v>
      </c>
      <c r="BBK1" s="2" t="s">
        <v>1409</v>
      </c>
      <c r="BBL1" s="2" t="s">
        <v>1410</v>
      </c>
      <c r="BBM1" s="2" t="s">
        <v>1411</v>
      </c>
      <c r="BBN1" s="2" t="s">
        <v>1412</v>
      </c>
      <c r="BBO1" s="2" t="s">
        <v>1413</v>
      </c>
      <c r="BBP1" s="2" t="s">
        <v>1414</v>
      </c>
      <c r="BBQ1" s="2" t="s">
        <v>1415</v>
      </c>
      <c r="BBR1" s="2" t="s">
        <v>1416</v>
      </c>
      <c r="BBS1" s="2" t="s">
        <v>1417</v>
      </c>
      <c r="BBT1" s="2" t="s">
        <v>1418</v>
      </c>
      <c r="BBU1" s="2" t="s">
        <v>1419</v>
      </c>
      <c r="BBV1" s="2" t="s">
        <v>1420</v>
      </c>
      <c r="BBW1" s="2" t="s">
        <v>1421</v>
      </c>
      <c r="BBX1" s="2" t="s">
        <v>1422</v>
      </c>
      <c r="BBY1" s="2" t="s">
        <v>1423</v>
      </c>
      <c r="BBZ1" s="2" t="s">
        <v>1424</v>
      </c>
      <c r="BCA1" s="2" t="s">
        <v>1425</v>
      </c>
      <c r="BCB1" s="2" t="s">
        <v>1426</v>
      </c>
      <c r="BCC1" s="2" t="s">
        <v>1427</v>
      </c>
      <c r="BCD1" s="2" t="s">
        <v>1428</v>
      </c>
      <c r="BCE1" s="2" t="s">
        <v>1429</v>
      </c>
      <c r="BCF1" s="2" t="s">
        <v>1430</v>
      </c>
      <c r="BCG1" s="2" t="s">
        <v>1431</v>
      </c>
      <c r="BCH1" s="2" t="s">
        <v>1432</v>
      </c>
      <c r="BCI1" s="2" t="s">
        <v>1433</v>
      </c>
      <c r="BCJ1" s="2" t="s">
        <v>1434</v>
      </c>
      <c r="BCK1" s="2" t="s">
        <v>1435</v>
      </c>
      <c r="BCL1" s="2" t="s">
        <v>1436</v>
      </c>
      <c r="BCM1" s="2" t="s">
        <v>1437</v>
      </c>
      <c r="BCN1" s="2" t="s">
        <v>1438</v>
      </c>
      <c r="BCO1" s="2" t="s">
        <v>1439</v>
      </c>
      <c r="BCP1" s="2" t="s">
        <v>1440</v>
      </c>
      <c r="BCQ1" s="2" t="s">
        <v>1441</v>
      </c>
      <c r="BCR1" s="2" t="s">
        <v>1442</v>
      </c>
      <c r="BCS1" s="2" t="s">
        <v>1443</v>
      </c>
      <c r="BCT1" s="2" t="s">
        <v>1444</v>
      </c>
      <c r="BCU1" s="2" t="s">
        <v>1445</v>
      </c>
      <c r="BCV1" s="2" t="s">
        <v>1446</v>
      </c>
      <c r="BCW1" s="2" t="s">
        <v>1447</v>
      </c>
      <c r="BCX1" s="2" t="s">
        <v>1448</v>
      </c>
      <c r="BCY1" s="2" t="s">
        <v>1449</v>
      </c>
      <c r="BCZ1" s="2" t="s">
        <v>1450</v>
      </c>
      <c r="BDA1" s="2" t="s">
        <v>1451</v>
      </c>
      <c r="BDB1" s="2" t="s">
        <v>1452</v>
      </c>
      <c r="BDC1" s="2" t="s">
        <v>1453</v>
      </c>
      <c r="BDD1" s="2" t="s">
        <v>1454</v>
      </c>
      <c r="BDE1" s="2" t="s">
        <v>1455</v>
      </c>
      <c r="BDF1" s="2" t="s">
        <v>1456</v>
      </c>
      <c r="BDG1" s="2" t="s">
        <v>1457</v>
      </c>
      <c r="BDH1" s="2" t="s">
        <v>1458</v>
      </c>
      <c r="BDI1" s="2" t="s">
        <v>1459</v>
      </c>
      <c r="BDJ1" s="2" t="s">
        <v>1460</v>
      </c>
      <c r="BDK1" s="2" t="s">
        <v>1461</v>
      </c>
      <c r="BDL1" s="2" t="s">
        <v>1462</v>
      </c>
      <c r="BDM1" s="2" t="s">
        <v>1463</v>
      </c>
      <c r="BDN1" s="2" t="s">
        <v>1464</v>
      </c>
      <c r="BDO1" s="2" t="s">
        <v>1465</v>
      </c>
      <c r="BDP1" s="2" t="s">
        <v>1466</v>
      </c>
      <c r="BDQ1" s="2" t="s">
        <v>1467</v>
      </c>
      <c r="BDR1" s="2" t="s">
        <v>1468</v>
      </c>
      <c r="BDS1" s="2" t="s">
        <v>1469</v>
      </c>
      <c r="BDT1" s="2" t="s">
        <v>1470</v>
      </c>
      <c r="BDU1" s="2" t="s">
        <v>1471</v>
      </c>
      <c r="BDV1" s="2" t="s">
        <v>1472</v>
      </c>
      <c r="BDW1" s="2" t="s">
        <v>1473</v>
      </c>
      <c r="BDX1" s="2" t="s">
        <v>1474</v>
      </c>
      <c r="BDY1" s="2" t="s">
        <v>1475</v>
      </c>
      <c r="BDZ1" s="2" t="s">
        <v>1476</v>
      </c>
      <c r="BEA1" s="2" t="s">
        <v>1477</v>
      </c>
      <c r="BEB1" s="2" t="s">
        <v>1478</v>
      </c>
      <c r="BEC1" s="2" t="s">
        <v>1479</v>
      </c>
      <c r="BED1" s="2" t="s">
        <v>1480</v>
      </c>
      <c r="BEE1" s="2" t="s">
        <v>1481</v>
      </c>
      <c r="BEF1" s="2" t="s">
        <v>1482</v>
      </c>
      <c r="BEG1" s="2" t="s">
        <v>1483</v>
      </c>
      <c r="BEH1" s="2" t="s">
        <v>1484</v>
      </c>
      <c r="BEI1" s="2" t="s">
        <v>1485</v>
      </c>
      <c r="BEJ1" s="2" t="s">
        <v>1486</v>
      </c>
      <c r="BEK1" s="2" t="s">
        <v>1487</v>
      </c>
      <c r="BEL1" s="2" t="s">
        <v>1488</v>
      </c>
      <c r="BEM1" s="2" t="s">
        <v>1489</v>
      </c>
      <c r="BEN1" s="2" t="s">
        <v>1490</v>
      </c>
      <c r="BEO1" s="2" t="s">
        <v>1491</v>
      </c>
      <c r="BEP1" s="2" t="s">
        <v>1492</v>
      </c>
      <c r="BEQ1" s="2" t="s">
        <v>1493</v>
      </c>
      <c r="BER1" s="2" t="s">
        <v>1494</v>
      </c>
      <c r="BES1" s="2" t="s">
        <v>1495</v>
      </c>
      <c r="BET1" s="2" t="s">
        <v>1496</v>
      </c>
      <c r="BEU1" s="2" t="s">
        <v>1497</v>
      </c>
      <c r="BEV1" s="2" t="s">
        <v>1498</v>
      </c>
      <c r="BEW1" s="2" t="s">
        <v>1499</v>
      </c>
      <c r="BEX1" s="2" t="s">
        <v>1500</v>
      </c>
      <c r="BEY1" s="2" t="s">
        <v>1501</v>
      </c>
      <c r="BEZ1" s="2" t="s">
        <v>1502</v>
      </c>
      <c r="BFA1" s="2" t="s">
        <v>1503</v>
      </c>
      <c r="BFB1" s="2" t="s">
        <v>1504</v>
      </c>
      <c r="BFC1" s="2" t="s">
        <v>1505</v>
      </c>
      <c r="BFD1" s="2" t="s">
        <v>1506</v>
      </c>
      <c r="BFE1" s="2" t="s">
        <v>1507</v>
      </c>
      <c r="BFF1" s="2" t="s">
        <v>1508</v>
      </c>
      <c r="BFG1" s="2" t="s">
        <v>1509</v>
      </c>
      <c r="BFH1" s="2" t="s">
        <v>1510</v>
      </c>
      <c r="BFI1" s="2" t="s">
        <v>1511</v>
      </c>
      <c r="BFJ1" s="2" t="s">
        <v>1512</v>
      </c>
      <c r="BFK1" s="2" t="s">
        <v>1513</v>
      </c>
      <c r="BFL1" s="2" t="s">
        <v>1514</v>
      </c>
      <c r="BFM1" s="2" t="s">
        <v>1515</v>
      </c>
      <c r="BFN1" s="2" t="s">
        <v>1516</v>
      </c>
      <c r="BFO1" s="2" t="s">
        <v>1517</v>
      </c>
      <c r="BFP1" s="2" t="s">
        <v>1518</v>
      </c>
      <c r="BFQ1" s="2" t="s">
        <v>1519</v>
      </c>
      <c r="BFR1" s="2" t="s">
        <v>1520</v>
      </c>
      <c r="BFS1" s="2" t="s">
        <v>1521</v>
      </c>
      <c r="BFT1" s="2" t="s">
        <v>1522</v>
      </c>
      <c r="BFU1" s="2" t="s">
        <v>1523</v>
      </c>
      <c r="BFV1" s="2" t="s">
        <v>1524</v>
      </c>
      <c r="BFW1" s="2" t="s">
        <v>1525</v>
      </c>
      <c r="BFX1" s="2" t="s">
        <v>1526</v>
      </c>
      <c r="BFY1" s="2" t="s">
        <v>1527</v>
      </c>
      <c r="BFZ1" s="2" t="s">
        <v>1528</v>
      </c>
      <c r="BGA1" s="2" t="s">
        <v>1529</v>
      </c>
      <c r="BGB1" s="2" t="s">
        <v>1530</v>
      </c>
      <c r="BGC1" s="2" t="s">
        <v>1531</v>
      </c>
      <c r="BGD1" s="2" t="s">
        <v>1532</v>
      </c>
      <c r="BGE1" s="2" t="s">
        <v>1533</v>
      </c>
      <c r="BGF1" s="2" t="s">
        <v>1534</v>
      </c>
      <c r="BGG1" s="2" t="s">
        <v>1535</v>
      </c>
      <c r="BGH1" s="2" t="s">
        <v>1536</v>
      </c>
      <c r="BGI1" s="2" t="s">
        <v>1537</v>
      </c>
      <c r="BGJ1" s="2" t="s">
        <v>1538</v>
      </c>
      <c r="BGK1" s="2" t="s">
        <v>1539</v>
      </c>
      <c r="BGL1" s="2" t="s">
        <v>1540</v>
      </c>
      <c r="BGM1" s="2" t="s">
        <v>1541</v>
      </c>
      <c r="BGN1" s="2" t="s">
        <v>1542</v>
      </c>
      <c r="BGO1" s="2" t="s">
        <v>1543</v>
      </c>
      <c r="BGP1" s="2" t="s">
        <v>1544</v>
      </c>
      <c r="BGQ1" s="2" t="s">
        <v>1545</v>
      </c>
      <c r="BGR1" s="2" t="s">
        <v>1546</v>
      </c>
      <c r="BGS1" s="2" t="s">
        <v>1547</v>
      </c>
      <c r="BGT1" s="2" t="s">
        <v>1548</v>
      </c>
      <c r="BGU1" s="2" t="s">
        <v>1549</v>
      </c>
      <c r="BGV1" s="2" t="s">
        <v>1550</v>
      </c>
      <c r="BGW1" s="2" t="s">
        <v>1551</v>
      </c>
      <c r="BGX1" s="2" t="s">
        <v>1552</v>
      </c>
      <c r="BGY1" s="2" t="s">
        <v>1553</v>
      </c>
      <c r="BGZ1" s="2" t="s">
        <v>1554</v>
      </c>
      <c r="BHA1" s="2" t="s">
        <v>1555</v>
      </c>
      <c r="BHB1" s="2" t="s">
        <v>1556</v>
      </c>
      <c r="BHC1" s="2" t="s">
        <v>1557</v>
      </c>
      <c r="BHD1" s="2" t="s">
        <v>1558</v>
      </c>
      <c r="BHE1" s="2" t="s">
        <v>1559</v>
      </c>
      <c r="BHF1" s="2" t="s">
        <v>1560</v>
      </c>
      <c r="BHG1" s="2" t="s">
        <v>1561</v>
      </c>
      <c r="BHH1" s="2" t="s">
        <v>1562</v>
      </c>
      <c r="BHI1" s="2" t="s">
        <v>1563</v>
      </c>
      <c r="BHJ1" s="2" t="s">
        <v>1564</v>
      </c>
      <c r="BHK1" s="2" t="s">
        <v>1565</v>
      </c>
      <c r="BHL1" s="2" t="s">
        <v>1566</v>
      </c>
      <c r="BHM1" s="2" t="s">
        <v>1567</v>
      </c>
      <c r="BHN1" s="2" t="s">
        <v>1568</v>
      </c>
      <c r="BHO1" s="2" t="s">
        <v>1569</v>
      </c>
      <c r="BHP1" s="2" t="s">
        <v>1570</v>
      </c>
      <c r="BHQ1" s="2" t="s">
        <v>1571</v>
      </c>
      <c r="BHR1" s="2" t="s">
        <v>1572</v>
      </c>
      <c r="BHS1" s="2" t="s">
        <v>1573</v>
      </c>
      <c r="BHT1" s="2" t="s">
        <v>1574</v>
      </c>
      <c r="BHU1" s="2" t="s">
        <v>1575</v>
      </c>
      <c r="BHV1" s="2" t="s">
        <v>1576</v>
      </c>
      <c r="BHW1" s="2" t="s">
        <v>1577</v>
      </c>
      <c r="BHX1" s="2" t="s">
        <v>1578</v>
      </c>
      <c r="BHY1" s="2" t="s">
        <v>1579</v>
      </c>
      <c r="BHZ1" s="2" t="s">
        <v>1580</v>
      </c>
      <c r="BIA1" s="2" t="s">
        <v>1581</v>
      </c>
      <c r="BIB1" s="2" t="s">
        <v>1582</v>
      </c>
      <c r="BIC1" s="2" t="s">
        <v>1583</v>
      </c>
      <c r="BID1" s="2" t="s">
        <v>1584</v>
      </c>
      <c r="BIE1" s="2" t="s">
        <v>1585</v>
      </c>
      <c r="BIF1" s="2" t="s">
        <v>1586</v>
      </c>
      <c r="BIG1" s="2" t="s">
        <v>1587</v>
      </c>
      <c r="BIH1" s="2" t="s">
        <v>1588</v>
      </c>
      <c r="BII1" s="2" t="s">
        <v>1589</v>
      </c>
      <c r="BIJ1" s="2" t="s">
        <v>1590</v>
      </c>
      <c r="BIK1" s="2" t="s">
        <v>1591</v>
      </c>
      <c r="BIL1" s="2" t="s">
        <v>1592</v>
      </c>
      <c r="BIM1" s="2" t="s">
        <v>1593</v>
      </c>
      <c r="BIN1" s="2" t="s">
        <v>1594</v>
      </c>
      <c r="BIO1" s="2" t="s">
        <v>1595</v>
      </c>
      <c r="BIP1" s="2" t="s">
        <v>1596</v>
      </c>
      <c r="BIQ1" s="2" t="s">
        <v>1597</v>
      </c>
      <c r="BIR1" s="2" t="s">
        <v>1598</v>
      </c>
      <c r="BIS1" s="2" t="s">
        <v>1599</v>
      </c>
      <c r="BIT1" s="2" t="s">
        <v>1600</v>
      </c>
      <c r="BIU1" s="2" t="s">
        <v>1601</v>
      </c>
      <c r="BIV1" s="2" t="s">
        <v>1602</v>
      </c>
      <c r="BIW1" s="2" t="s">
        <v>1603</v>
      </c>
      <c r="BIX1" s="2" t="s">
        <v>1604</v>
      </c>
      <c r="BIY1" s="2" t="s">
        <v>1605</v>
      </c>
      <c r="BIZ1" s="2" t="s">
        <v>1606</v>
      </c>
      <c r="BJA1" s="2" t="s">
        <v>1607</v>
      </c>
      <c r="BJB1" s="2" t="s">
        <v>1608</v>
      </c>
      <c r="BJC1" s="2" t="s">
        <v>1609</v>
      </c>
      <c r="BJD1" s="2" t="s">
        <v>1610</v>
      </c>
      <c r="BJE1" s="2" t="s">
        <v>1611</v>
      </c>
      <c r="BJF1" s="2" t="s">
        <v>1612</v>
      </c>
      <c r="BJG1" s="2" t="s">
        <v>1613</v>
      </c>
      <c r="BJH1" s="2" t="s">
        <v>1614</v>
      </c>
      <c r="BJI1" s="2" t="s">
        <v>1615</v>
      </c>
      <c r="BJJ1" s="2" t="s">
        <v>1616</v>
      </c>
      <c r="BJK1" s="2" t="s">
        <v>1617</v>
      </c>
      <c r="BJL1" s="2" t="s">
        <v>1618</v>
      </c>
      <c r="BJM1" s="2" t="s">
        <v>1619</v>
      </c>
      <c r="BJN1" s="2" t="s">
        <v>1620</v>
      </c>
      <c r="BJO1" s="2" t="s">
        <v>1621</v>
      </c>
      <c r="BJP1" s="2" t="s">
        <v>1622</v>
      </c>
      <c r="BJQ1" s="2" t="s">
        <v>1623</v>
      </c>
      <c r="BJR1" s="2" t="s">
        <v>1624</v>
      </c>
      <c r="BJS1" s="2" t="s">
        <v>1625</v>
      </c>
      <c r="BJT1" s="2" t="s">
        <v>1626</v>
      </c>
      <c r="BJU1" s="2" t="s">
        <v>1627</v>
      </c>
      <c r="BJV1" s="2" t="s">
        <v>1628</v>
      </c>
      <c r="BJW1" s="2" t="s">
        <v>1629</v>
      </c>
      <c r="BJX1" s="2" t="s">
        <v>1630</v>
      </c>
      <c r="BJY1" s="2" t="s">
        <v>1631</v>
      </c>
      <c r="BJZ1" s="2" t="s">
        <v>1632</v>
      </c>
      <c r="BKA1" s="2" t="s">
        <v>1633</v>
      </c>
      <c r="BKB1" s="2" t="s">
        <v>1634</v>
      </c>
      <c r="BKC1" s="2" t="s">
        <v>1635</v>
      </c>
      <c r="BKD1" s="2" t="s">
        <v>1636</v>
      </c>
      <c r="BKE1" s="2" t="s">
        <v>1637</v>
      </c>
      <c r="BKF1" s="2" t="s">
        <v>1638</v>
      </c>
      <c r="BKG1" s="2" t="s">
        <v>1639</v>
      </c>
      <c r="BKH1" s="2" t="s">
        <v>1640</v>
      </c>
      <c r="BKI1" s="2" t="s">
        <v>1641</v>
      </c>
      <c r="BKJ1" s="2" t="s">
        <v>1642</v>
      </c>
      <c r="BKK1" s="2" t="s">
        <v>1643</v>
      </c>
      <c r="BKL1" s="2" t="s">
        <v>1644</v>
      </c>
      <c r="BKM1" s="2" t="s">
        <v>1645</v>
      </c>
      <c r="BKN1" s="2" t="s">
        <v>1646</v>
      </c>
      <c r="BKO1" s="2" t="s">
        <v>1647</v>
      </c>
      <c r="BKP1" s="2" t="s">
        <v>1648</v>
      </c>
      <c r="BKQ1" s="2" t="s">
        <v>1649</v>
      </c>
      <c r="BKR1" s="2" t="s">
        <v>1650</v>
      </c>
      <c r="BKS1" s="2" t="s">
        <v>1651</v>
      </c>
      <c r="BKT1" s="2" t="s">
        <v>1652</v>
      </c>
      <c r="BKU1" s="2" t="s">
        <v>1653</v>
      </c>
      <c r="BKV1" s="2" t="s">
        <v>1654</v>
      </c>
      <c r="BKW1" s="2" t="s">
        <v>1655</v>
      </c>
      <c r="BKX1" s="2" t="s">
        <v>1656</v>
      </c>
      <c r="BKY1" s="2" t="s">
        <v>1657</v>
      </c>
      <c r="BKZ1" s="2" t="s">
        <v>1658</v>
      </c>
      <c r="BLA1" s="2" t="s">
        <v>1659</v>
      </c>
      <c r="BLB1" s="2" t="s">
        <v>1660</v>
      </c>
      <c r="BLC1" s="2" t="s">
        <v>1661</v>
      </c>
      <c r="BLD1" s="2" t="s">
        <v>1662</v>
      </c>
      <c r="BLE1" s="2" t="s">
        <v>1663</v>
      </c>
      <c r="BLF1" s="2" t="s">
        <v>1664</v>
      </c>
      <c r="BLG1" s="2" t="s">
        <v>1665</v>
      </c>
      <c r="BLH1" s="2" t="s">
        <v>1666</v>
      </c>
      <c r="BLI1" s="2" t="s">
        <v>1667</v>
      </c>
      <c r="BLJ1" s="2" t="s">
        <v>1668</v>
      </c>
      <c r="BLK1" s="2" t="s">
        <v>1669</v>
      </c>
    </row>
    <row r="2" spans="1:1675" x14ac:dyDescent="0.2">
      <c r="A2">
        <v>1</v>
      </c>
      <c r="B2">
        <v>6</v>
      </c>
      <c r="C2">
        <f t="shared" ref="C2:C33" si="0">A2+75</f>
        <v>76</v>
      </c>
      <c r="D2">
        <v>917</v>
      </c>
      <c r="E2">
        <v>1</v>
      </c>
      <c r="F2">
        <v>1</v>
      </c>
      <c r="G2">
        <v>1</v>
      </c>
      <c r="H2" cm="1">
        <f t="array" ref="H2">_xlfn.IFS(P2=0, 1, P2=7, 2, P2=5, 3)</f>
        <v>1</v>
      </c>
      <c r="I2" cm="1">
        <f t="array" ref="I2">_xlfn.IFS(H2=1, IF(AC2=0, P2, PO2), H2=2, IF(AC2=0, P2, AFN2), H2=3, IF(AC2=0, P2, AVM2))</f>
        <v>0</v>
      </c>
      <c r="J2" cm="1">
        <f t="array" ref="J2">_xlfn.IFS(I2=0, 1, I2=1, 0, I2=2, 7, I2=7, 2, I2=5, 6, I2=6, 5)</f>
        <v>1</v>
      </c>
      <c r="K2" t="str" cm="1">
        <f t="array" ref="K2">_xlfn.IFNA(_xlfn.IFS(P2&lt;&gt;P3, 1, A2&lt;&gt;A3, IF(P3=P2, 1)), "")</f>
        <v/>
      </c>
      <c r="L2" t="str">
        <f t="shared" ref="L2:L33" si="1">IF(K2=1,I2,"")</f>
        <v/>
      </c>
      <c r="M2" t="s">
        <v>1726</v>
      </c>
      <c r="N2" t="s">
        <v>1670</v>
      </c>
      <c r="P2">
        <v>0</v>
      </c>
      <c r="Q2">
        <v>74</v>
      </c>
      <c r="R2">
        <v>20</v>
      </c>
      <c r="S2">
        <v>19</v>
      </c>
      <c r="T2">
        <v>8</v>
      </c>
      <c r="U2">
        <v>0</v>
      </c>
      <c r="V2">
        <v>0</v>
      </c>
      <c r="W2">
        <v>14</v>
      </c>
      <c r="X2">
        <v>4</v>
      </c>
      <c r="Y2">
        <v>2</v>
      </c>
      <c r="Z2">
        <v>0</v>
      </c>
      <c r="AA2">
        <v>417</v>
      </c>
      <c r="AB2">
        <v>473</v>
      </c>
      <c r="AC2">
        <v>0</v>
      </c>
      <c r="AD2">
        <v>54</v>
      </c>
      <c r="AE2">
        <v>4</v>
      </c>
      <c r="AF2" t="s">
        <v>1680</v>
      </c>
      <c r="AG2">
        <v>14</v>
      </c>
      <c r="AH2" t="s">
        <v>1671</v>
      </c>
      <c r="AI2">
        <v>11</v>
      </c>
      <c r="AJ2">
        <v>13</v>
      </c>
      <c r="AK2">
        <v>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1.05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4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3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7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8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4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1</v>
      </c>
      <c r="PP2">
        <v>52</v>
      </c>
      <c r="PQ2">
        <v>22</v>
      </c>
      <c r="PR2">
        <v>25</v>
      </c>
      <c r="PS2">
        <v>9</v>
      </c>
      <c r="PT2">
        <v>0</v>
      </c>
      <c r="PU2">
        <v>0</v>
      </c>
      <c r="PV2">
        <v>18</v>
      </c>
      <c r="PW2">
        <v>1</v>
      </c>
      <c r="PX2">
        <v>2</v>
      </c>
      <c r="PY2">
        <v>1</v>
      </c>
      <c r="PZ2">
        <v>398</v>
      </c>
      <c r="QA2">
        <v>473</v>
      </c>
      <c r="QB2">
        <v>1</v>
      </c>
      <c r="QC2">
        <v>52</v>
      </c>
      <c r="QD2">
        <v>3</v>
      </c>
      <c r="QE2" t="s">
        <v>1678</v>
      </c>
      <c r="QF2">
        <v>14</v>
      </c>
      <c r="QG2" t="s">
        <v>1676</v>
      </c>
      <c r="QH2">
        <v>14</v>
      </c>
      <c r="QI2">
        <v>115</v>
      </c>
      <c r="QJ2">
        <v>8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0.88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8</v>
      </c>
      <c r="RC2">
        <v>3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2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1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1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4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7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1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2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5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6</v>
      </c>
      <c r="XW2">
        <v>0</v>
      </c>
      <c r="XX2">
        <v>0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8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1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1</v>
      </c>
      <c r="AFO2">
        <v>90</v>
      </c>
      <c r="AFP2">
        <v>21</v>
      </c>
      <c r="AFQ2">
        <v>15</v>
      </c>
      <c r="AFR2">
        <v>6</v>
      </c>
      <c r="AFS2">
        <v>0</v>
      </c>
      <c r="AFT2">
        <v>0</v>
      </c>
      <c r="AFU2">
        <v>17</v>
      </c>
      <c r="AFV2">
        <v>3</v>
      </c>
      <c r="AFW2">
        <v>1</v>
      </c>
      <c r="AFX2">
        <v>0</v>
      </c>
      <c r="AFY2">
        <v>429</v>
      </c>
      <c r="AFZ2">
        <v>473</v>
      </c>
      <c r="AGA2">
        <v>1</v>
      </c>
      <c r="AGB2">
        <v>56</v>
      </c>
      <c r="AGC2">
        <v>5</v>
      </c>
      <c r="AGD2" t="s">
        <v>1676</v>
      </c>
      <c r="AGE2">
        <v>11</v>
      </c>
      <c r="AGF2" t="s">
        <v>1678</v>
      </c>
      <c r="AGG2">
        <v>9</v>
      </c>
      <c r="AGH2">
        <v>13</v>
      </c>
      <c r="AGI2">
        <v>6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1.4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6</v>
      </c>
      <c r="AHB2">
        <v>7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3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2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1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3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1</v>
      </c>
      <c r="ALA2">
        <v>0</v>
      </c>
      <c r="ALB2">
        <v>0</v>
      </c>
      <c r="ALC2">
        <v>0</v>
      </c>
      <c r="ALD2">
        <v>0</v>
      </c>
      <c r="ALE2">
        <v>3</v>
      </c>
      <c r="ALF2">
        <v>0</v>
      </c>
      <c r="ALG2">
        <v>4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8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2</v>
      </c>
      <c r="ALZ2">
        <v>0</v>
      </c>
      <c r="AMA2">
        <v>1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1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3</v>
      </c>
      <c r="ANR2">
        <v>0</v>
      </c>
      <c r="ANS2">
        <v>0</v>
      </c>
      <c r="ANT2">
        <v>0</v>
      </c>
      <c r="ANU2">
        <v>2</v>
      </c>
      <c r="ANV2">
        <v>0</v>
      </c>
      <c r="ANW2">
        <v>0</v>
      </c>
      <c r="ANX2">
        <v>2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2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1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3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76</v>
      </c>
      <c r="AVO2">
        <v>20</v>
      </c>
      <c r="AVP2">
        <v>24</v>
      </c>
      <c r="AVQ2">
        <v>6</v>
      </c>
      <c r="AVR2">
        <v>0</v>
      </c>
      <c r="AVS2">
        <v>0</v>
      </c>
      <c r="AVT2">
        <v>12</v>
      </c>
      <c r="AVU2">
        <v>1</v>
      </c>
      <c r="AVV2">
        <v>7</v>
      </c>
      <c r="AVW2">
        <v>0</v>
      </c>
      <c r="AVX2">
        <v>401</v>
      </c>
      <c r="AVY2">
        <v>473</v>
      </c>
      <c r="AVZ2">
        <v>0</v>
      </c>
      <c r="AWA2">
        <v>50</v>
      </c>
      <c r="AWB2">
        <v>5</v>
      </c>
      <c r="AWC2" t="s">
        <v>1680</v>
      </c>
      <c r="AWD2">
        <v>11</v>
      </c>
      <c r="AWE2" t="s">
        <v>1680</v>
      </c>
      <c r="AWF2">
        <v>14</v>
      </c>
      <c r="AWG2">
        <v>75</v>
      </c>
      <c r="AWH2">
        <v>6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0.83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6</v>
      </c>
      <c r="AXA2">
        <v>1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2</v>
      </c>
      <c r="AYU2">
        <v>3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2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1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4</v>
      </c>
      <c r="BAZ2">
        <v>0</v>
      </c>
      <c r="BBA2">
        <v>0</v>
      </c>
      <c r="BBB2">
        <v>0</v>
      </c>
      <c r="BBC2">
        <v>0</v>
      </c>
      <c r="BBD2">
        <v>3</v>
      </c>
      <c r="BBE2">
        <v>0</v>
      </c>
      <c r="BBF2">
        <v>3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5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1</v>
      </c>
      <c r="BBY2">
        <v>0</v>
      </c>
      <c r="BBZ2">
        <v>2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6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2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5</v>
      </c>
      <c r="BDU2">
        <v>0</v>
      </c>
      <c r="BDV2">
        <v>0</v>
      </c>
      <c r="BDW2">
        <v>1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1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1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1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</row>
    <row r="3" spans="1:1675" x14ac:dyDescent="0.2">
      <c r="A3">
        <v>1</v>
      </c>
      <c r="B3">
        <v>6</v>
      </c>
      <c r="C3">
        <f t="shared" si="0"/>
        <v>76</v>
      </c>
      <c r="D3">
        <f>D2+1</f>
        <v>918</v>
      </c>
      <c r="E3">
        <f>E2+1</f>
        <v>2</v>
      </c>
      <c r="F3">
        <f t="shared" ref="F3:F34" si="2">IF(A3=A2,F2+1,1)</f>
        <v>2</v>
      </c>
      <c r="G3">
        <f>IF(K2&lt;&gt;1,G2+1,1)</f>
        <v>2</v>
      </c>
      <c r="H3" cm="1">
        <f t="array" ref="H3">_xlfn.IFS(P3=0, 1, P3=7, 2, P3=5, 3)</f>
        <v>1</v>
      </c>
      <c r="I3" cm="1">
        <f t="array" ref="I3">_xlfn.IFS(H3=1, IF(AC3=0, P3, PO3), H3=2, IF(AC3=0, P3, AFN3), H3=3, IF(AC3=0, P3, AVM3))</f>
        <v>1</v>
      </c>
      <c r="J3" cm="1">
        <f t="array" ref="J3">_xlfn.IFS(I3=0, 1, I3=1, 0, I3=2, 7, I3=7, 2, I3=5, 6, I3=6, 5)</f>
        <v>0</v>
      </c>
      <c r="K3" t="str" cm="1">
        <f t="array" ref="K3">_xlfn.IFNA(_xlfn.IFS(P3&lt;&gt;P4, 1, A3&lt;&gt;A4, IF(P4=P3, 1)), "")</f>
        <v/>
      </c>
      <c r="L3" t="str">
        <f t="shared" si="1"/>
        <v/>
      </c>
      <c r="M3" t="s">
        <v>1727</v>
      </c>
      <c r="N3" t="s">
        <v>1673</v>
      </c>
      <c r="P3">
        <v>0</v>
      </c>
      <c r="Q3">
        <v>40</v>
      </c>
      <c r="R3">
        <v>10</v>
      </c>
      <c r="S3">
        <v>13</v>
      </c>
      <c r="T3">
        <v>1</v>
      </c>
      <c r="U3">
        <v>0</v>
      </c>
      <c r="V3">
        <v>0</v>
      </c>
      <c r="W3">
        <v>7</v>
      </c>
      <c r="X3">
        <v>1</v>
      </c>
      <c r="Y3">
        <v>0</v>
      </c>
      <c r="Z3">
        <v>2</v>
      </c>
      <c r="AA3">
        <v>316</v>
      </c>
      <c r="AB3">
        <v>355</v>
      </c>
      <c r="AC3">
        <v>1</v>
      </c>
      <c r="AD3">
        <v>29</v>
      </c>
      <c r="AE3">
        <v>2</v>
      </c>
      <c r="AF3" t="s">
        <v>1680</v>
      </c>
      <c r="AG3">
        <v>7</v>
      </c>
      <c r="AH3" t="s">
        <v>1671</v>
      </c>
      <c r="AI3">
        <v>7</v>
      </c>
      <c r="AJ3">
        <v>115</v>
      </c>
      <c r="AK3">
        <v>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0.77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2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3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3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4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3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1</v>
      </c>
      <c r="PP3">
        <v>54</v>
      </c>
      <c r="PQ3">
        <v>12</v>
      </c>
      <c r="PR3">
        <v>8</v>
      </c>
      <c r="PS3">
        <v>4</v>
      </c>
      <c r="PT3">
        <v>0</v>
      </c>
      <c r="PU3">
        <v>0</v>
      </c>
      <c r="PV3">
        <v>7</v>
      </c>
      <c r="PW3">
        <v>0</v>
      </c>
      <c r="PX3">
        <v>4</v>
      </c>
      <c r="PY3">
        <v>1</v>
      </c>
      <c r="PZ3">
        <v>331</v>
      </c>
      <c r="QA3">
        <v>355</v>
      </c>
      <c r="QB3">
        <v>0</v>
      </c>
      <c r="QC3">
        <v>30</v>
      </c>
      <c r="QD3">
        <v>4</v>
      </c>
      <c r="QE3" t="s">
        <v>1678</v>
      </c>
      <c r="QF3">
        <v>6</v>
      </c>
      <c r="QG3" t="s">
        <v>1676</v>
      </c>
      <c r="QH3">
        <v>7</v>
      </c>
      <c r="QI3">
        <v>25</v>
      </c>
      <c r="QJ3">
        <v>3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1.5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4</v>
      </c>
      <c r="RC3">
        <v>1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1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2</v>
      </c>
      <c r="VG3">
        <v>0</v>
      </c>
      <c r="VH3">
        <v>3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1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2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4</v>
      </c>
      <c r="XW3">
        <v>0</v>
      </c>
      <c r="XX3">
        <v>0</v>
      </c>
      <c r="XY3">
        <v>1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2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1</v>
      </c>
      <c r="YY3">
        <v>0</v>
      </c>
      <c r="YZ3">
        <v>0</v>
      </c>
      <c r="ZA3">
        <v>0</v>
      </c>
      <c r="ZB3">
        <v>0</v>
      </c>
      <c r="ZC3">
        <v>3</v>
      </c>
      <c r="ZD3">
        <v>0</v>
      </c>
      <c r="ZE3">
        <v>1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1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1</v>
      </c>
      <c r="AFO3">
        <v>96</v>
      </c>
      <c r="AFP3">
        <v>15</v>
      </c>
      <c r="AFQ3">
        <v>8</v>
      </c>
      <c r="AFR3">
        <v>3</v>
      </c>
      <c r="AFS3">
        <v>0</v>
      </c>
      <c r="AFT3">
        <v>0</v>
      </c>
      <c r="AFU3">
        <v>9</v>
      </c>
      <c r="AFV3">
        <v>2</v>
      </c>
      <c r="AFW3">
        <v>1</v>
      </c>
      <c r="AFX3">
        <v>3</v>
      </c>
      <c r="AFY3">
        <v>331</v>
      </c>
      <c r="AFZ3">
        <v>355</v>
      </c>
      <c r="AGA3">
        <v>0</v>
      </c>
      <c r="AGB3">
        <v>39</v>
      </c>
      <c r="AGC3">
        <v>5</v>
      </c>
      <c r="AGD3" t="s">
        <v>1678</v>
      </c>
      <c r="AGE3">
        <v>8</v>
      </c>
      <c r="AGF3" t="s">
        <v>1678</v>
      </c>
      <c r="AGG3">
        <v>5</v>
      </c>
      <c r="AGH3">
        <v>13</v>
      </c>
      <c r="AGI3">
        <v>3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1.88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3</v>
      </c>
      <c r="AHB3">
        <v>1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3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1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2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2</v>
      </c>
      <c r="ALA3">
        <v>0</v>
      </c>
      <c r="ALB3">
        <v>0</v>
      </c>
      <c r="ALC3">
        <v>0</v>
      </c>
      <c r="ALD3">
        <v>0</v>
      </c>
      <c r="ALE3">
        <v>2</v>
      </c>
      <c r="ALF3">
        <v>0</v>
      </c>
      <c r="ALG3">
        <v>6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5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1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1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1</v>
      </c>
      <c r="ANR3">
        <v>0</v>
      </c>
      <c r="ANS3">
        <v>0</v>
      </c>
      <c r="ANT3">
        <v>0</v>
      </c>
      <c r="ANU3">
        <v>5</v>
      </c>
      <c r="ANV3">
        <v>0</v>
      </c>
      <c r="ANW3">
        <v>0</v>
      </c>
      <c r="ANX3">
        <v>1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1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3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47</v>
      </c>
      <c r="AVO3">
        <v>6</v>
      </c>
      <c r="AVP3">
        <v>14</v>
      </c>
      <c r="AVQ3">
        <v>5</v>
      </c>
      <c r="AVR3">
        <v>0</v>
      </c>
      <c r="AVS3">
        <v>0</v>
      </c>
      <c r="AVT3">
        <v>4</v>
      </c>
      <c r="AVU3">
        <v>0</v>
      </c>
      <c r="AVV3">
        <v>2</v>
      </c>
      <c r="AVW3">
        <v>0</v>
      </c>
      <c r="AVX3">
        <v>313</v>
      </c>
      <c r="AVY3">
        <v>355</v>
      </c>
      <c r="AVZ3">
        <v>1</v>
      </c>
      <c r="AWA3">
        <v>23</v>
      </c>
      <c r="AWB3">
        <v>1</v>
      </c>
      <c r="AWC3" t="s">
        <v>1671</v>
      </c>
      <c r="AWD3">
        <v>5</v>
      </c>
      <c r="AWE3" t="s">
        <v>1671</v>
      </c>
      <c r="AWF3">
        <v>8</v>
      </c>
      <c r="AWG3">
        <v>75</v>
      </c>
      <c r="AWH3">
        <v>2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0.43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4</v>
      </c>
      <c r="AXA3">
        <v>3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1</v>
      </c>
      <c r="AYU3">
        <v>2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2</v>
      </c>
      <c r="BAZ3">
        <v>0</v>
      </c>
      <c r="BBA3">
        <v>0</v>
      </c>
      <c r="BBB3">
        <v>0</v>
      </c>
      <c r="BBC3">
        <v>0</v>
      </c>
      <c r="BBD3">
        <v>2</v>
      </c>
      <c r="BBE3">
        <v>0</v>
      </c>
      <c r="BBF3">
        <v>1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1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1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2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3</v>
      </c>
      <c r="BDU3">
        <v>0</v>
      </c>
      <c r="BDV3">
        <v>0</v>
      </c>
      <c r="BDW3">
        <v>1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</row>
    <row r="4" spans="1:1675" x14ac:dyDescent="0.2">
      <c r="A4">
        <v>1</v>
      </c>
      <c r="B4">
        <v>6</v>
      </c>
      <c r="C4">
        <f t="shared" si="0"/>
        <v>76</v>
      </c>
      <c r="D4">
        <f t="shared" ref="D4:D37" si="3">D3+1</f>
        <v>919</v>
      </c>
      <c r="E4">
        <f t="shared" ref="E4:E37" si="4">E3+1</f>
        <v>3</v>
      </c>
      <c r="F4">
        <f t="shared" si="2"/>
        <v>3</v>
      </c>
      <c r="G4">
        <f t="shared" ref="G4:G37" si="5">IF(K3&lt;&gt;1,G3+1,1)</f>
        <v>3</v>
      </c>
      <c r="H4" cm="1">
        <f t="array" ref="H4">_xlfn.IFS(P4=0, 1, P4=7, 2, P4=5, 3)</f>
        <v>1</v>
      </c>
      <c r="I4" cm="1">
        <f t="array" ref="I4">_xlfn.IFS(H4=1, IF(AC4=0, P4, PO4), H4=2, IF(AC4=0, P4, AFN4), H4=3, IF(AC4=0, P4, AVM4))</f>
        <v>1</v>
      </c>
      <c r="J4" cm="1">
        <f t="array" ref="J4">_xlfn.IFS(I4=0, 1, I4=1, 0, I4=2, 7, I4=7, 2, I4=5, 6, I4=6, 5)</f>
        <v>0</v>
      </c>
      <c r="K4" t="str" cm="1">
        <f t="array" ref="K4">_xlfn.IFNA(_xlfn.IFS(P4&lt;&gt;P5, 1, A4&lt;&gt;A5, IF(P5=P4, 1)), "")</f>
        <v/>
      </c>
      <c r="L4" t="str">
        <f t="shared" si="1"/>
        <v/>
      </c>
      <c r="M4" t="s">
        <v>1728</v>
      </c>
      <c r="N4" t="s">
        <v>1674</v>
      </c>
      <c r="P4">
        <v>0</v>
      </c>
      <c r="Q4">
        <v>72</v>
      </c>
      <c r="R4">
        <v>25</v>
      </c>
      <c r="S4">
        <v>17</v>
      </c>
      <c r="T4">
        <v>3</v>
      </c>
      <c r="U4">
        <v>0</v>
      </c>
      <c r="V4">
        <v>0</v>
      </c>
      <c r="W4">
        <v>18</v>
      </c>
      <c r="X4">
        <v>6</v>
      </c>
      <c r="Y4">
        <v>1</v>
      </c>
      <c r="Z4">
        <v>0</v>
      </c>
      <c r="AA4">
        <v>353</v>
      </c>
      <c r="AB4">
        <v>404</v>
      </c>
      <c r="AC4">
        <v>1</v>
      </c>
      <c r="AD4">
        <v>59</v>
      </c>
      <c r="AE4">
        <v>6</v>
      </c>
      <c r="AF4" t="s">
        <v>1680</v>
      </c>
      <c r="AG4">
        <v>13</v>
      </c>
      <c r="AH4" t="s">
        <v>1671</v>
      </c>
      <c r="AI4">
        <v>12</v>
      </c>
      <c r="AJ4">
        <v>115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1.47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6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2</v>
      </c>
      <c r="FC4">
        <v>0</v>
      </c>
      <c r="FD4">
        <v>0</v>
      </c>
      <c r="FE4">
        <v>0</v>
      </c>
      <c r="FF4">
        <v>0</v>
      </c>
      <c r="FG4">
        <v>5</v>
      </c>
      <c r="FH4">
        <v>0</v>
      </c>
      <c r="FI4">
        <v>6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7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3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7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8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1</v>
      </c>
      <c r="PP4">
        <v>54</v>
      </c>
      <c r="PQ4">
        <v>19</v>
      </c>
      <c r="PR4">
        <v>23</v>
      </c>
      <c r="PS4">
        <v>8</v>
      </c>
      <c r="PT4">
        <v>0</v>
      </c>
      <c r="PU4">
        <v>0</v>
      </c>
      <c r="PV4">
        <v>9</v>
      </c>
      <c r="PW4">
        <v>2</v>
      </c>
      <c r="PX4">
        <v>4</v>
      </c>
      <c r="PY4">
        <v>4</v>
      </c>
      <c r="PZ4">
        <v>335</v>
      </c>
      <c r="QA4">
        <v>404</v>
      </c>
      <c r="QB4">
        <v>0</v>
      </c>
      <c r="QC4">
        <v>53</v>
      </c>
      <c r="QD4">
        <v>3</v>
      </c>
      <c r="QE4" t="s">
        <v>1678</v>
      </c>
      <c r="QF4">
        <v>14</v>
      </c>
      <c r="QG4" t="s">
        <v>1676</v>
      </c>
      <c r="QH4">
        <v>13</v>
      </c>
      <c r="QI4">
        <v>18</v>
      </c>
      <c r="QJ4">
        <v>3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0.83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8</v>
      </c>
      <c r="RC4">
        <v>3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3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2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2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2</v>
      </c>
      <c r="VB4">
        <v>0</v>
      </c>
      <c r="VC4">
        <v>0</v>
      </c>
      <c r="VD4">
        <v>0</v>
      </c>
      <c r="VE4">
        <v>0</v>
      </c>
      <c r="VF4">
        <v>3</v>
      </c>
      <c r="VG4">
        <v>0</v>
      </c>
      <c r="VH4">
        <v>3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8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0</v>
      </c>
      <c r="WR4">
        <v>0</v>
      </c>
      <c r="WS4">
        <v>0</v>
      </c>
      <c r="WT4">
        <v>2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2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8</v>
      </c>
      <c r="XW4">
        <v>0</v>
      </c>
      <c r="XX4">
        <v>0</v>
      </c>
      <c r="XY4">
        <v>3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2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1</v>
      </c>
      <c r="AFO4">
        <v>96</v>
      </c>
      <c r="AFP4">
        <v>18</v>
      </c>
      <c r="AFQ4">
        <v>19</v>
      </c>
      <c r="AFR4">
        <v>7</v>
      </c>
      <c r="AFS4">
        <v>0</v>
      </c>
      <c r="AFT4">
        <v>0</v>
      </c>
      <c r="AFU4">
        <v>13</v>
      </c>
      <c r="AFV4">
        <v>2</v>
      </c>
      <c r="AFW4">
        <v>3</v>
      </c>
      <c r="AFX4">
        <v>0</v>
      </c>
      <c r="AFY4">
        <v>347</v>
      </c>
      <c r="AFZ4">
        <v>404</v>
      </c>
      <c r="AGA4">
        <v>0</v>
      </c>
      <c r="AGB4">
        <v>58</v>
      </c>
      <c r="AGC4">
        <v>3</v>
      </c>
      <c r="AGD4" t="s">
        <v>1676</v>
      </c>
      <c r="AGE4">
        <v>12</v>
      </c>
      <c r="AGF4" t="s">
        <v>1676</v>
      </c>
      <c r="AGG4">
        <v>12</v>
      </c>
      <c r="AGH4">
        <v>33</v>
      </c>
      <c r="AGI4">
        <v>6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0.95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6</v>
      </c>
      <c r="AHB4">
        <v>6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1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2</v>
      </c>
      <c r="AIV4">
        <v>3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3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6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2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1</v>
      </c>
      <c r="ALA4">
        <v>0</v>
      </c>
      <c r="ALB4">
        <v>0</v>
      </c>
      <c r="ALC4">
        <v>0</v>
      </c>
      <c r="ALD4">
        <v>0</v>
      </c>
      <c r="ALE4">
        <v>3</v>
      </c>
      <c r="ALF4">
        <v>0</v>
      </c>
      <c r="ALG4">
        <v>6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2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1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2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2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8</v>
      </c>
      <c r="ANV4">
        <v>0</v>
      </c>
      <c r="ANW4">
        <v>0</v>
      </c>
      <c r="ANX4">
        <v>4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42</v>
      </c>
      <c r="AVO4">
        <v>17</v>
      </c>
      <c r="AVP4">
        <v>20</v>
      </c>
      <c r="AVQ4">
        <v>11</v>
      </c>
      <c r="AVR4">
        <v>0</v>
      </c>
      <c r="AVS4">
        <v>0</v>
      </c>
      <c r="AVT4">
        <v>5</v>
      </c>
      <c r="AVU4">
        <v>4</v>
      </c>
      <c r="AVV4">
        <v>7</v>
      </c>
      <c r="AVW4">
        <v>1</v>
      </c>
      <c r="AVX4">
        <v>344</v>
      </c>
      <c r="AVY4">
        <v>404</v>
      </c>
      <c r="AVZ4">
        <v>1</v>
      </c>
      <c r="AWA4">
        <v>51</v>
      </c>
      <c r="AWB4">
        <v>3</v>
      </c>
      <c r="AWC4" t="s">
        <v>1680</v>
      </c>
      <c r="AWD4">
        <v>10</v>
      </c>
      <c r="AWE4" t="s">
        <v>1680</v>
      </c>
      <c r="AWF4">
        <v>14</v>
      </c>
      <c r="AWG4">
        <v>75</v>
      </c>
      <c r="AWH4">
        <v>6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0.85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11</v>
      </c>
      <c r="AXA4">
        <v>4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2</v>
      </c>
      <c r="AYU4">
        <v>1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1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1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2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3</v>
      </c>
      <c r="BAS4">
        <v>1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2</v>
      </c>
      <c r="BBE4">
        <v>0</v>
      </c>
      <c r="BBF4">
        <v>3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3</v>
      </c>
      <c r="BBR4">
        <v>1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6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2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6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1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1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</row>
    <row r="5" spans="1:1675" x14ac:dyDescent="0.2">
      <c r="A5">
        <v>1</v>
      </c>
      <c r="B5">
        <v>6</v>
      </c>
      <c r="C5">
        <f t="shared" si="0"/>
        <v>76</v>
      </c>
      <c r="D5">
        <f t="shared" si="3"/>
        <v>920</v>
      </c>
      <c r="E5">
        <f t="shared" si="4"/>
        <v>4</v>
      </c>
      <c r="F5">
        <f t="shared" si="2"/>
        <v>4</v>
      </c>
      <c r="G5">
        <f t="shared" si="5"/>
        <v>4</v>
      </c>
      <c r="H5" cm="1">
        <f t="array" ref="H5">_xlfn.IFS(P5=0, 1, P5=7, 2, P5=5, 3)</f>
        <v>1</v>
      </c>
      <c r="I5" cm="1">
        <f t="array" ref="I5">_xlfn.IFS(H5=1, IF(AC5=0, P5, PO5), H5=2, IF(AC5=0, P5, AFN5), H5=3, IF(AC5=0, P5, AVM5))</f>
        <v>0</v>
      </c>
      <c r="J5" cm="1">
        <f t="array" ref="J5">_xlfn.IFS(I5=0, 1, I5=1, 0, I5=2, 7, I5=7, 2, I5=5, 6, I5=6, 5)</f>
        <v>1</v>
      </c>
      <c r="K5" t="str" cm="1">
        <f t="array" ref="K5">_xlfn.IFNA(_xlfn.IFS(P5&lt;&gt;P6, 1, A5&lt;&gt;A6, IF(P6=P5, 1)), "")</f>
        <v/>
      </c>
      <c r="L5" t="str">
        <f t="shared" si="1"/>
        <v/>
      </c>
      <c r="M5" t="s">
        <v>1729</v>
      </c>
      <c r="N5" t="s">
        <v>1675</v>
      </c>
      <c r="P5">
        <v>0</v>
      </c>
      <c r="Q5">
        <v>46</v>
      </c>
      <c r="R5">
        <v>25</v>
      </c>
      <c r="S5">
        <v>18</v>
      </c>
      <c r="T5">
        <v>6</v>
      </c>
      <c r="U5">
        <v>0</v>
      </c>
      <c r="V5">
        <v>0</v>
      </c>
      <c r="W5">
        <v>20</v>
      </c>
      <c r="X5">
        <v>3</v>
      </c>
      <c r="Y5">
        <v>2</v>
      </c>
      <c r="Z5">
        <v>0</v>
      </c>
      <c r="AA5">
        <v>465</v>
      </c>
      <c r="AB5">
        <v>519</v>
      </c>
      <c r="AC5">
        <v>0</v>
      </c>
      <c r="AD5">
        <v>69</v>
      </c>
      <c r="AE5">
        <v>7</v>
      </c>
      <c r="AF5" t="s">
        <v>1671</v>
      </c>
      <c r="AG5">
        <v>13</v>
      </c>
      <c r="AH5" t="s">
        <v>1680</v>
      </c>
      <c r="AI5">
        <v>13</v>
      </c>
      <c r="AJ5">
        <v>30</v>
      </c>
      <c r="AK5">
        <v>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1.39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3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4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3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4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13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2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0</v>
      </c>
      <c r="GT5">
        <v>0</v>
      </c>
      <c r="GU5">
        <v>2</v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4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2</v>
      </c>
      <c r="HT5">
        <v>0</v>
      </c>
      <c r="HU5">
        <v>0</v>
      </c>
      <c r="HV5">
        <v>0</v>
      </c>
      <c r="HW5">
        <v>4</v>
      </c>
      <c r="HX5">
        <v>0</v>
      </c>
      <c r="HY5">
        <v>0</v>
      </c>
      <c r="HZ5">
        <v>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2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3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1</v>
      </c>
      <c r="PP5">
        <v>118</v>
      </c>
      <c r="PQ5">
        <v>23</v>
      </c>
      <c r="PR5">
        <v>22</v>
      </c>
      <c r="PS5">
        <v>1</v>
      </c>
      <c r="PT5">
        <v>0</v>
      </c>
      <c r="PU5">
        <v>0</v>
      </c>
      <c r="PV5">
        <v>17</v>
      </c>
      <c r="PW5">
        <v>2</v>
      </c>
      <c r="PX5">
        <v>1</v>
      </c>
      <c r="PY5">
        <v>3</v>
      </c>
      <c r="PZ5">
        <v>456</v>
      </c>
      <c r="QA5">
        <v>519</v>
      </c>
      <c r="QB5">
        <v>1</v>
      </c>
      <c r="QC5">
        <v>55</v>
      </c>
      <c r="QD5">
        <v>10</v>
      </c>
      <c r="QE5" t="s">
        <v>1676</v>
      </c>
      <c r="QF5">
        <v>13</v>
      </c>
      <c r="QG5" t="s">
        <v>1676</v>
      </c>
      <c r="QH5">
        <v>12</v>
      </c>
      <c r="QI5">
        <v>17</v>
      </c>
      <c r="QJ5">
        <v>4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1.05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1</v>
      </c>
      <c r="RC5">
        <v>2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1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</v>
      </c>
      <c r="SW5">
        <v>4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3</v>
      </c>
      <c r="TE5">
        <v>0</v>
      </c>
      <c r="TF5">
        <v>0</v>
      </c>
      <c r="TG5">
        <v>1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4</v>
      </c>
      <c r="UO5">
        <v>0</v>
      </c>
      <c r="UP5">
        <v>0</v>
      </c>
      <c r="UQ5">
        <v>0</v>
      </c>
      <c r="UR5">
        <v>0</v>
      </c>
      <c r="US5">
        <v>0</v>
      </c>
      <c r="UT5">
        <v>2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5</v>
      </c>
      <c r="VG5">
        <v>0</v>
      </c>
      <c r="VH5">
        <v>6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6</v>
      </c>
      <c r="VT5">
        <v>0</v>
      </c>
      <c r="VU5">
        <v>0</v>
      </c>
      <c r="VV5">
        <v>0</v>
      </c>
      <c r="VW5">
        <v>0</v>
      </c>
      <c r="VX5">
        <v>0</v>
      </c>
      <c r="VY5">
        <v>1</v>
      </c>
      <c r="VZ5">
        <v>1</v>
      </c>
      <c r="WA5">
        <v>0</v>
      </c>
      <c r="WB5">
        <v>1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3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2</v>
      </c>
      <c r="XS5">
        <v>0</v>
      </c>
      <c r="XT5">
        <v>0</v>
      </c>
      <c r="XU5">
        <v>0</v>
      </c>
      <c r="XV5">
        <v>4</v>
      </c>
      <c r="XW5">
        <v>0</v>
      </c>
      <c r="XX5">
        <v>0</v>
      </c>
      <c r="XY5">
        <v>1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2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2</v>
      </c>
      <c r="ZO5">
        <v>0</v>
      </c>
      <c r="ZP5">
        <v>0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</v>
      </c>
      <c r="AFO5">
        <v>28</v>
      </c>
      <c r="AFP5">
        <v>15</v>
      </c>
      <c r="AFQ5">
        <v>19</v>
      </c>
      <c r="AFR5">
        <v>8</v>
      </c>
      <c r="AFS5">
        <v>0</v>
      </c>
      <c r="AFT5">
        <v>0</v>
      </c>
      <c r="AFU5">
        <v>14</v>
      </c>
      <c r="AFV5">
        <v>0</v>
      </c>
      <c r="AFW5">
        <v>1</v>
      </c>
      <c r="AFX5">
        <v>0</v>
      </c>
      <c r="AFY5">
        <v>462</v>
      </c>
      <c r="AFZ5">
        <v>519</v>
      </c>
      <c r="AGA5">
        <v>1</v>
      </c>
      <c r="AGB5">
        <v>41</v>
      </c>
      <c r="AGC5">
        <v>5</v>
      </c>
      <c r="AGD5" t="s">
        <v>1678</v>
      </c>
      <c r="AGE5">
        <v>10</v>
      </c>
      <c r="AGF5" t="s">
        <v>1676</v>
      </c>
      <c r="AGG5">
        <v>13</v>
      </c>
      <c r="AGH5">
        <v>17</v>
      </c>
      <c r="AGI5">
        <v>4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0.79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8</v>
      </c>
      <c r="AHB5">
        <v>3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2</v>
      </c>
      <c r="AIV5">
        <v>3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1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3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2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5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1</v>
      </c>
      <c r="ALZ5">
        <v>0</v>
      </c>
      <c r="AMA5">
        <v>1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1</v>
      </c>
      <c r="ANR5">
        <v>0</v>
      </c>
      <c r="ANS5">
        <v>0</v>
      </c>
      <c r="ANT5">
        <v>0</v>
      </c>
      <c r="ANU5">
        <v>3</v>
      </c>
      <c r="ANV5">
        <v>0</v>
      </c>
      <c r="ANW5">
        <v>0</v>
      </c>
      <c r="ANX5">
        <v>1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1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1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4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104</v>
      </c>
      <c r="AVO5">
        <v>16</v>
      </c>
      <c r="AVP5">
        <v>20</v>
      </c>
      <c r="AVQ5">
        <v>5</v>
      </c>
      <c r="AVR5">
        <v>0</v>
      </c>
      <c r="AVS5">
        <v>0</v>
      </c>
      <c r="AVT5">
        <v>15</v>
      </c>
      <c r="AVU5">
        <v>0</v>
      </c>
      <c r="AVV5">
        <v>1</v>
      </c>
      <c r="AVW5">
        <v>0</v>
      </c>
      <c r="AVX5">
        <v>459</v>
      </c>
      <c r="AVY5">
        <v>519</v>
      </c>
      <c r="AVZ5">
        <v>0</v>
      </c>
      <c r="AWA5">
        <v>41</v>
      </c>
      <c r="AWB5">
        <v>3</v>
      </c>
      <c r="AWC5" t="s">
        <v>1680</v>
      </c>
      <c r="AWD5">
        <v>10</v>
      </c>
      <c r="AWE5" t="s">
        <v>1680</v>
      </c>
      <c r="AWF5">
        <v>10</v>
      </c>
      <c r="AWG5">
        <v>13</v>
      </c>
      <c r="AWH5">
        <v>5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0.8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5</v>
      </c>
      <c r="AXA5">
        <v>4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1</v>
      </c>
      <c r="AYU5">
        <v>1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2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1</v>
      </c>
      <c r="AZN5">
        <v>1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2</v>
      </c>
      <c r="BAZ5">
        <v>0</v>
      </c>
      <c r="BBA5">
        <v>0</v>
      </c>
      <c r="BBB5">
        <v>0</v>
      </c>
      <c r="BBC5">
        <v>0</v>
      </c>
      <c r="BBD5">
        <v>1</v>
      </c>
      <c r="BBE5">
        <v>0</v>
      </c>
      <c r="BBF5">
        <v>4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8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1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1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1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3</v>
      </c>
      <c r="BDU5">
        <v>0</v>
      </c>
      <c r="BDV5">
        <v>0</v>
      </c>
      <c r="BDW5">
        <v>4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</row>
    <row r="6" spans="1:1675" x14ac:dyDescent="0.2">
      <c r="A6">
        <v>1</v>
      </c>
      <c r="B6">
        <v>6</v>
      </c>
      <c r="C6">
        <f t="shared" si="0"/>
        <v>76</v>
      </c>
      <c r="D6">
        <f t="shared" si="3"/>
        <v>921</v>
      </c>
      <c r="E6">
        <f t="shared" si="4"/>
        <v>5</v>
      </c>
      <c r="F6">
        <f t="shared" si="2"/>
        <v>5</v>
      </c>
      <c r="G6">
        <f t="shared" si="5"/>
        <v>5</v>
      </c>
      <c r="H6" cm="1">
        <f t="array" ref="H6">_xlfn.IFS(P6=0, 1, P6=7, 2, P6=5, 3)</f>
        <v>1</v>
      </c>
      <c r="I6" cm="1">
        <f t="array" ref="I6">_xlfn.IFS(H6=1, IF(AC6=0, P6, PO6), H6=2, IF(AC6=0, P6, AFN6), H6=3, IF(AC6=0, P6, AVM6))</f>
        <v>0</v>
      </c>
      <c r="J6" cm="1">
        <f t="array" ref="J6">_xlfn.IFS(I6=0, 1, I6=1, 0, I6=2, 7, I6=7, 2, I6=5, 6, I6=6, 5)</f>
        <v>1</v>
      </c>
      <c r="K6" cm="1">
        <f t="array" ref="K6">_xlfn.IFNA(_xlfn.IFS(P6&lt;&gt;P7, 1, A6&lt;&gt;A7, IF(P7=P6, 1)), "")</f>
        <v>1</v>
      </c>
      <c r="L6">
        <f t="shared" si="1"/>
        <v>0</v>
      </c>
      <c r="M6" t="s">
        <v>1730</v>
      </c>
      <c r="N6" t="s">
        <v>1677</v>
      </c>
      <c r="P6">
        <v>0</v>
      </c>
      <c r="Q6">
        <v>80</v>
      </c>
      <c r="R6">
        <v>20</v>
      </c>
      <c r="S6">
        <v>13</v>
      </c>
      <c r="T6">
        <v>6</v>
      </c>
      <c r="U6">
        <v>0</v>
      </c>
      <c r="V6">
        <v>0</v>
      </c>
      <c r="W6">
        <v>19</v>
      </c>
      <c r="X6">
        <v>1</v>
      </c>
      <c r="Y6">
        <v>0</v>
      </c>
      <c r="Z6">
        <v>0</v>
      </c>
      <c r="AA6">
        <v>408</v>
      </c>
      <c r="AB6">
        <v>447</v>
      </c>
      <c r="AC6">
        <v>0</v>
      </c>
      <c r="AD6">
        <v>45</v>
      </c>
      <c r="AE6">
        <v>4</v>
      </c>
      <c r="AF6" t="s">
        <v>1680</v>
      </c>
      <c r="AG6">
        <v>10</v>
      </c>
      <c r="AH6" t="s">
        <v>1671</v>
      </c>
      <c r="AI6">
        <v>8</v>
      </c>
      <c r="AJ6">
        <v>13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1.54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5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1</v>
      </c>
      <c r="HT6">
        <v>0</v>
      </c>
      <c r="HU6">
        <v>0</v>
      </c>
      <c r="HV6">
        <v>0</v>
      </c>
      <c r="HW6">
        <v>6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3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1</v>
      </c>
      <c r="PP6">
        <v>88</v>
      </c>
      <c r="PQ6">
        <v>14</v>
      </c>
      <c r="PR6">
        <v>21</v>
      </c>
      <c r="PS6">
        <v>5</v>
      </c>
      <c r="PT6">
        <v>0</v>
      </c>
      <c r="PU6">
        <v>0</v>
      </c>
      <c r="PV6">
        <v>8</v>
      </c>
      <c r="PW6">
        <v>3</v>
      </c>
      <c r="PX6">
        <v>3</v>
      </c>
      <c r="PY6">
        <v>0</v>
      </c>
      <c r="PZ6">
        <v>384</v>
      </c>
      <c r="QA6">
        <v>447</v>
      </c>
      <c r="QB6">
        <v>1</v>
      </c>
      <c r="QC6">
        <v>42</v>
      </c>
      <c r="QD6">
        <v>3</v>
      </c>
      <c r="QE6" t="s">
        <v>1678</v>
      </c>
      <c r="QF6">
        <v>9</v>
      </c>
      <c r="QG6" t="s">
        <v>1678</v>
      </c>
      <c r="QH6">
        <v>11</v>
      </c>
      <c r="QI6">
        <v>18</v>
      </c>
      <c r="QJ6">
        <v>3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0.67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5</v>
      </c>
      <c r="RC6">
        <v>2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1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2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1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3</v>
      </c>
      <c r="UU6">
        <v>0</v>
      </c>
      <c r="UV6">
        <v>0</v>
      </c>
      <c r="UW6">
        <v>0</v>
      </c>
      <c r="UX6">
        <v>0</v>
      </c>
      <c r="UY6">
        <v>1</v>
      </c>
      <c r="UZ6">
        <v>0</v>
      </c>
      <c r="VA6">
        <v>2</v>
      </c>
      <c r="VB6">
        <v>0</v>
      </c>
      <c r="VC6">
        <v>0</v>
      </c>
      <c r="VD6">
        <v>0</v>
      </c>
      <c r="VE6">
        <v>0</v>
      </c>
      <c r="VF6">
        <v>4</v>
      </c>
      <c r="VG6">
        <v>0</v>
      </c>
      <c r="VH6">
        <v>2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3</v>
      </c>
      <c r="VT6">
        <v>2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3</v>
      </c>
      <c r="XS6">
        <v>0</v>
      </c>
      <c r="XT6">
        <v>0</v>
      </c>
      <c r="XU6">
        <v>0</v>
      </c>
      <c r="XV6">
        <v>7</v>
      </c>
      <c r="XW6">
        <v>0</v>
      </c>
      <c r="XX6">
        <v>0</v>
      </c>
      <c r="XY6">
        <v>3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1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1</v>
      </c>
      <c r="AFO6">
        <v>52</v>
      </c>
      <c r="AFP6">
        <v>15</v>
      </c>
      <c r="AFQ6">
        <v>16</v>
      </c>
      <c r="AFR6">
        <v>3</v>
      </c>
      <c r="AFS6">
        <v>0</v>
      </c>
      <c r="AFT6">
        <v>0</v>
      </c>
      <c r="AFU6">
        <v>15</v>
      </c>
      <c r="AFV6">
        <v>0</v>
      </c>
      <c r="AFW6">
        <v>0</v>
      </c>
      <c r="AFX6">
        <v>0</v>
      </c>
      <c r="AFY6">
        <v>399</v>
      </c>
      <c r="AFZ6">
        <v>447</v>
      </c>
      <c r="AGA6">
        <v>1</v>
      </c>
      <c r="AGB6">
        <v>39</v>
      </c>
      <c r="AGC6">
        <v>4</v>
      </c>
      <c r="AGD6" t="s">
        <v>1676</v>
      </c>
      <c r="AGE6">
        <v>8</v>
      </c>
      <c r="AGF6" t="s">
        <v>1676</v>
      </c>
      <c r="AGG6">
        <v>10</v>
      </c>
      <c r="AGH6">
        <v>13</v>
      </c>
      <c r="AGI6">
        <v>6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0.94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3</v>
      </c>
      <c r="AHB6">
        <v>3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1</v>
      </c>
      <c r="AIV6">
        <v>1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1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1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1</v>
      </c>
      <c r="ALA6">
        <v>0</v>
      </c>
      <c r="ALB6">
        <v>0</v>
      </c>
      <c r="ALC6">
        <v>0</v>
      </c>
      <c r="ALD6">
        <v>0</v>
      </c>
      <c r="ALE6">
        <v>3</v>
      </c>
      <c r="ALF6">
        <v>0</v>
      </c>
      <c r="ALG6">
        <v>1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8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1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1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2</v>
      </c>
      <c r="ANR6">
        <v>0</v>
      </c>
      <c r="ANS6">
        <v>0</v>
      </c>
      <c r="ANT6">
        <v>0</v>
      </c>
      <c r="ANU6">
        <v>6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3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1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2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70</v>
      </c>
      <c r="AVO6">
        <v>17</v>
      </c>
      <c r="AVP6">
        <v>16</v>
      </c>
      <c r="AVQ6">
        <v>8</v>
      </c>
      <c r="AVR6">
        <v>0</v>
      </c>
      <c r="AVS6">
        <v>0</v>
      </c>
      <c r="AVT6">
        <v>13</v>
      </c>
      <c r="AVU6">
        <v>1</v>
      </c>
      <c r="AVV6">
        <v>1</v>
      </c>
      <c r="AVW6">
        <v>2</v>
      </c>
      <c r="AVX6">
        <v>399</v>
      </c>
      <c r="AVY6">
        <v>447</v>
      </c>
      <c r="AVZ6">
        <v>0</v>
      </c>
      <c r="AWA6">
        <v>55</v>
      </c>
      <c r="AWB6">
        <v>5</v>
      </c>
      <c r="AWC6" t="s">
        <v>1680</v>
      </c>
      <c r="AWD6">
        <v>11</v>
      </c>
      <c r="AWE6" t="s">
        <v>1680</v>
      </c>
      <c r="AWF6">
        <v>9</v>
      </c>
      <c r="AWG6">
        <v>115</v>
      </c>
      <c r="AWH6">
        <v>5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1.06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8</v>
      </c>
      <c r="AXA6">
        <v>2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2</v>
      </c>
      <c r="AYU6">
        <v>2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1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2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1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1</v>
      </c>
      <c r="BBC6">
        <v>0</v>
      </c>
      <c r="BBD6">
        <v>1</v>
      </c>
      <c r="BBE6">
        <v>0</v>
      </c>
      <c r="BBF6">
        <v>6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8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1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1</v>
      </c>
      <c r="BCN6">
        <v>0</v>
      </c>
      <c r="BCO6">
        <v>0</v>
      </c>
      <c r="BCP6">
        <v>0</v>
      </c>
      <c r="BCQ6">
        <v>0</v>
      </c>
      <c r="BCR6">
        <v>1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2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4</v>
      </c>
      <c r="BDQ6">
        <v>0</v>
      </c>
      <c r="BDR6">
        <v>0</v>
      </c>
      <c r="BDS6">
        <v>0</v>
      </c>
      <c r="BDT6">
        <v>7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5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</row>
    <row r="7" spans="1:1675" x14ac:dyDescent="0.2">
      <c r="A7">
        <v>1</v>
      </c>
      <c r="B7">
        <v>6</v>
      </c>
      <c r="C7">
        <f t="shared" si="0"/>
        <v>76</v>
      </c>
      <c r="D7">
        <f t="shared" si="3"/>
        <v>922</v>
      </c>
      <c r="E7">
        <f t="shared" si="4"/>
        <v>6</v>
      </c>
      <c r="F7">
        <f t="shared" si="2"/>
        <v>6</v>
      </c>
      <c r="G7">
        <f t="shared" si="5"/>
        <v>1</v>
      </c>
      <c r="H7" cm="1">
        <f t="array" ref="H7">_xlfn.IFS(P7=0, 1, P7=7, 2, P7=5, 3)</f>
        <v>2</v>
      </c>
      <c r="I7" cm="1">
        <f t="array" ref="I7">_xlfn.IFS(H7=1, IF(AC7=0, P7, PO7), H7=2, IF(AC7=0, P7, AFN7), H7=3, IF(AC7=0, P7, AVM7))</f>
        <v>2</v>
      </c>
      <c r="J7" cm="1">
        <f t="array" ref="J7">_xlfn.IFS(I7=0, 1, I7=1, 0, I7=2, 7, I7=7, 2, I7=5, 6, I7=6, 5)</f>
        <v>7</v>
      </c>
      <c r="K7" t="str" cm="1">
        <f t="array" ref="K7">_xlfn.IFNA(_xlfn.IFS(P7&lt;&gt;P8, 1, A7&lt;&gt;A8, IF(P8=P7, 1)), "")</f>
        <v/>
      </c>
      <c r="L7" t="str">
        <f t="shared" si="1"/>
        <v/>
      </c>
      <c r="M7" t="s">
        <v>1731</v>
      </c>
      <c r="N7" t="s">
        <v>1679</v>
      </c>
      <c r="P7">
        <v>7</v>
      </c>
      <c r="Q7">
        <v>47</v>
      </c>
      <c r="R7">
        <v>20</v>
      </c>
      <c r="S7">
        <v>17</v>
      </c>
      <c r="T7">
        <v>6</v>
      </c>
      <c r="U7">
        <v>1</v>
      </c>
      <c r="V7">
        <v>1</v>
      </c>
      <c r="W7">
        <v>13</v>
      </c>
      <c r="X7">
        <v>1</v>
      </c>
      <c r="Y7">
        <v>5</v>
      </c>
      <c r="Z7">
        <v>1</v>
      </c>
      <c r="AA7">
        <v>371</v>
      </c>
      <c r="AB7">
        <v>428</v>
      </c>
      <c r="AC7">
        <v>1</v>
      </c>
      <c r="AD7">
        <v>54</v>
      </c>
      <c r="AE7">
        <v>3</v>
      </c>
      <c r="AF7" t="s">
        <v>1678</v>
      </c>
      <c r="AG7">
        <v>11</v>
      </c>
      <c r="AH7" t="s">
        <v>1671</v>
      </c>
      <c r="AI7">
        <v>10</v>
      </c>
      <c r="AJ7">
        <v>13</v>
      </c>
      <c r="AK7">
        <v>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1.18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7</v>
      </c>
      <c r="FH7">
        <v>0</v>
      </c>
      <c r="FI7">
        <v>5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0</v>
      </c>
      <c r="HU7">
        <v>0</v>
      </c>
      <c r="HV7">
        <v>0</v>
      </c>
      <c r="HW7">
        <v>5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4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7</v>
      </c>
      <c r="PP7">
        <v>90</v>
      </c>
      <c r="PQ7">
        <v>23</v>
      </c>
      <c r="PR7">
        <v>17</v>
      </c>
      <c r="PS7">
        <v>4</v>
      </c>
      <c r="PT7">
        <v>0</v>
      </c>
      <c r="PU7">
        <v>0</v>
      </c>
      <c r="PV7">
        <v>10</v>
      </c>
      <c r="PW7">
        <v>4</v>
      </c>
      <c r="PX7">
        <v>8</v>
      </c>
      <c r="PY7">
        <v>1</v>
      </c>
      <c r="PZ7">
        <v>377</v>
      </c>
      <c r="QA7">
        <v>428</v>
      </c>
      <c r="QB7">
        <v>1</v>
      </c>
      <c r="QC7">
        <v>61</v>
      </c>
      <c r="QD7">
        <v>7</v>
      </c>
      <c r="QE7" t="s">
        <v>1671</v>
      </c>
      <c r="QF7">
        <v>12</v>
      </c>
      <c r="QG7" t="s">
        <v>1671</v>
      </c>
      <c r="QH7">
        <v>11</v>
      </c>
      <c r="QI7">
        <v>18</v>
      </c>
      <c r="QJ7">
        <v>4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1.35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4</v>
      </c>
      <c r="RC7">
        <v>7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1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1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1</v>
      </c>
      <c r="SW7">
        <v>2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4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3</v>
      </c>
      <c r="UU7">
        <v>0</v>
      </c>
      <c r="UV7">
        <v>0</v>
      </c>
      <c r="UW7">
        <v>0</v>
      </c>
      <c r="UX7">
        <v>0</v>
      </c>
      <c r="UY7">
        <v>3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3</v>
      </c>
      <c r="VG7">
        <v>0</v>
      </c>
      <c r="VH7">
        <v>2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6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</v>
      </c>
      <c r="WA7">
        <v>0</v>
      </c>
      <c r="WB7">
        <v>1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4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1</v>
      </c>
      <c r="XH7">
        <v>0</v>
      </c>
      <c r="XI7">
        <v>2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3</v>
      </c>
      <c r="XS7">
        <v>0</v>
      </c>
      <c r="XT7">
        <v>0</v>
      </c>
      <c r="XU7">
        <v>0</v>
      </c>
      <c r="XV7">
        <v>7</v>
      </c>
      <c r="XW7">
        <v>0</v>
      </c>
      <c r="XX7">
        <v>0</v>
      </c>
      <c r="XY7">
        <v>4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2</v>
      </c>
      <c r="AFO7">
        <v>93</v>
      </c>
      <c r="AFP7">
        <v>21</v>
      </c>
      <c r="AFQ7">
        <v>21</v>
      </c>
      <c r="AFR7">
        <v>3</v>
      </c>
      <c r="AFS7">
        <v>0</v>
      </c>
      <c r="AFT7">
        <v>0</v>
      </c>
      <c r="AFU7">
        <v>7</v>
      </c>
      <c r="AFV7">
        <v>1</v>
      </c>
      <c r="AFW7">
        <v>12</v>
      </c>
      <c r="AFX7">
        <v>1</v>
      </c>
      <c r="AFY7">
        <v>365</v>
      </c>
      <c r="AFZ7">
        <v>428</v>
      </c>
      <c r="AGA7">
        <v>0</v>
      </c>
      <c r="AGB7">
        <v>50</v>
      </c>
      <c r="AGC7">
        <v>5</v>
      </c>
      <c r="AGD7" t="s">
        <v>1680</v>
      </c>
      <c r="AGE7">
        <v>11</v>
      </c>
      <c r="AGF7" t="s">
        <v>1680</v>
      </c>
      <c r="AGG7">
        <v>12</v>
      </c>
      <c r="AGH7">
        <v>27</v>
      </c>
      <c r="AGI7">
        <v>5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1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1</v>
      </c>
      <c r="AHB7">
        <v>8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1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1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1</v>
      </c>
      <c r="AIV7">
        <v>1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2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1</v>
      </c>
      <c r="AKT7">
        <v>0</v>
      </c>
      <c r="AKU7">
        <v>0</v>
      </c>
      <c r="AKV7">
        <v>0</v>
      </c>
      <c r="AKW7">
        <v>0</v>
      </c>
      <c r="AKX7">
        <v>3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3</v>
      </c>
      <c r="ALF7">
        <v>0</v>
      </c>
      <c r="ALG7">
        <v>3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5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1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4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7</v>
      </c>
      <c r="ANV7">
        <v>0</v>
      </c>
      <c r="ANW7">
        <v>0</v>
      </c>
      <c r="ANX7">
        <v>2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5</v>
      </c>
      <c r="APE7">
        <v>1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2</v>
      </c>
      <c r="AVN7">
        <v>57</v>
      </c>
      <c r="AVO7">
        <v>11</v>
      </c>
      <c r="AVP7">
        <v>22</v>
      </c>
      <c r="AVQ7">
        <v>6</v>
      </c>
      <c r="AVR7">
        <v>0</v>
      </c>
      <c r="AVS7">
        <v>0</v>
      </c>
      <c r="AVT7">
        <v>5</v>
      </c>
      <c r="AVU7">
        <v>3</v>
      </c>
      <c r="AVV7">
        <v>2</v>
      </c>
      <c r="AVW7">
        <v>1</v>
      </c>
      <c r="AVX7">
        <v>363</v>
      </c>
      <c r="AVY7">
        <v>428</v>
      </c>
      <c r="AVZ7">
        <v>0</v>
      </c>
      <c r="AWA7">
        <v>37</v>
      </c>
      <c r="AWB7">
        <v>3</v>
      </c>
      <c r="AWC7" t="s">
        <v>1676</v>
      </c>
      <c r="AWD7">
        <v>6</v>
      </c>
      <c r="AWE7" t="s">
        <v>1680</v>
      </c>
      <c r="AWF7">
        <v>11</v>
      </c>
      <c r="AWG7">
        <v>18</v>
      </c>
      <c r="AWH7">
        <v>2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0.5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6</v>
      </c>
      <c r="AXA7">
        <v>3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1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4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1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1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1</v>
      </c>
      <c r="BAS7">
        <v>0</v>
      </c>
      <c r="BAT7">
        <v>0</v>
      </c>
      <c r="BAU7">
        <v>0</v>
      </c>
      <c r="BAV7">
        <v>0</v>
      </c>
      <c r="BAW7">
        <v>1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2</v>
      </c>
      <c r="BBE7">
        <v>0</v>
      </c>
      <c r="BBF7">
        <v>3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2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1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1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2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4</v>
      </c>
      <c r="BDU7">
        <v>0</v>
      </c>
      <c r="BDV7">
        <v>0</v>
      </c>
      <c r="BDW7">
        <v>2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1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</row>
    <row r="8" spans="1:1675" x14ac:dyDescent="0.2">
      <c r="A8">
        <v>1</v>
      </c>
      <c r="B8">
        <v>6</v>
      </c>
      <c r="C8">
        <f t="shared" si="0"/>
        <v>76</v>
      </c>
      <c r="D8">
        <f t="shared" si="3"/>
        <v>923</v>
      </c>
      <c r="E8">
        <f t="shared" si="4"/>
        <v>7</v>
      </c>
      <c r="F8">
        <f t="shared" si="2"/>
        <v>7</v>
      </c>
      <c r="G8">
        <f t="shared" si="5"/>
        <v>2</v>
      </c>
      <c r="H8" cm="1">
        <f t="array" ref="H8">_xlfn.IFS(P8=0, 1, P8=7, 2, P8=5, 3)</f>
        <v>2</v>
      </c>
      <c r="I8" cm="1">
        <f t="array" ref="I8">_xlfn.IFS(H8=1, IF(AC8=0, P8, PO8), H8=2, IF(AC8=0, P8, AFN8), H8=3, IF(AC8=0, P8, AVM8))</f>
        <v>7</v>
      </c>
      <c r="J8" cm="1">
        <f t="array" ref="J8">_xlfn.IFS(I8=0, 1, I8=1, 0, I8=2, 7, I8=7, 2, I8=5, 6, I8=6, 5)</f>
        <v>2</v>
      </c>
      <c r="K8" t="str" cm="1">
        <f t="array" ref="K8">_xlfn.IFNA(_xlfn.IFS(P8&lt;&gt;P9, 1, A8&lt;&gt;A9, IF(P9=P8, 1)), "")</f>
        <v/>
      </c>
      <c r="L8" t="str">
        <f t="shared" si="1"/>
        <v/>
      </c>
      <c r="M8" t="s">
        <v>1732</v>
      </c>
      <c r="N8" t="s">
        <v>1681</v>
      </c>
      <c r="P8">
        <v>7</v>
      </c>
      <c r="Q8">
        <v>62</v>
      </c>
      <c r="R8">
        <v>15</v>
      </c>
      <c r="S8">
        <v>14</v>
      </c>
      <c r="T8">
        <v>7</v>
      </c>
      <c r="U8">
        <v>0</v>
      </c>
      <c r="V8">
        <v>0</v>
      </c>
      <c r="W8">
        <v>14</v>
      </c>
      <c r="X8">
        <v>0</v>
      </c>
      <c r="Y8">
        <v>0</v>
      </c>
      <c r="Z8">
        <v>1</v>
      </c>
      <c r="AA8">
        <v>406</v>
      </c>
      <c r="AB8">
        <v>448</v>
      </c>
      <c r="AC8">
        <v>0</v>
      </c>
      <c r="AD8">
        <v>37</v>
      </c>
      <c r="AE8">
        <v>3</v>
      </c>
      <c r="AF8" t="s">
        <v>1671</v>
      </c>
      <c r="AG8">
        <v>9</v>
      </c>
      <c r="AH8" t="s">
        <v>1678</v>
      </c>
      <c r="AI8">
        <v>10</v>
      </c>
      <c r="AJ8">
        <v>13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1.07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3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7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3</v>
      </c>
      <c r="HX8">
        <v>0</v>
      </c>
      <c r="HY8">
        <v>0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2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7</v>
      </c>
      <c r="PP8">
        <v>88</v>
      </c>
      <c r="PQ8">
        <v>19</v>
      </c>
      <c r="PR8">
        <v>19</v>
      </c>
      <c r="PS8">
        <v>5</v>
      </c>
      <c r="PT8">
        <v>0</v>
      </c>
      <c r="PU8">
        <v>0</v>
      </c>
      <c r="PV8">
        <v>11</v>
      </c>
      <c r="PW8">
        <v>3</v>
      </c>
      <c r="PX8">
        <v>5</v>
      </c>
      <c r="PY8">
        <v>0</v>
      </c>
      <c r="PZ8">
        <v>391</v>
      </c>
      <c r="QA8">
        <v>448</v>
      </c>
      <c r="QB8">
        <v>0</v>
      </c>
      <c r="QC8">
        <v>47</v>
      </c>
      <c r="QD8">
        <v>3</v>
      </c>
      <c r="QE8" t="s">
        <v>1678</v>
      </c>
      <c r="QF8">
        <v>11</v>
      </c>
      <c r="QG8" t="s">
        <v>1671</v>
      </c>
      <c r="QH8">
        <v>14</v>
      </c>
      <c r="QI8">
        <v>13</v>
      </c>
      <c r="QJ8">
        <v>3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1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5</v>
      </c>
      <c r="RC8">
        <v>2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2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1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1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0</v>
      </c>
      <c r="UV8">
        <v>0</v>
      </c>
      <c r="UW8">
        <v>0</v>
      </c>
      <c r="UX8">
        <v>0</v>
      </c>
      <c r="UY8">
        <v>1</v>
      </c>
      <c r="UZ8">
        <v>0</v>
      </c>
      <c r="VA8">
        <v>2</v>
      </c>
      <c r="VB8">
        <v>0</v>
      </c>
      <c r="VC8">
        <v>0</v>
      </c>
      <c r="VD8">
        <v>0</v>
      </c>
      <c r="VE8">
        <v>0</v>
      </c>
      <c r="VF8">
        <v>3</v>
      </c>
      <c r="VG8">
        <v>0</v>
      </c>
      <c r="VH8">
        <v>1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4</v>
      </c>
      <c r="VT8">
        <v>1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0</v>
      </c>
      <c r="WR8">
        <v>0</v>
      </c>
      <c r="WS8">
        <v>0</v>
      </c>
      <c r="WT8">
        <v>2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2</v>
      </c>
      <c r="XH8">
        <v>0</v>
      </c>
      <c r="XI8">
        <v>2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1</v>
      </c>
      <c r="XS8">
        <v>0</v>
      </c>
      <c r="XT8">
        <v>0</v>
      </c>
      <c r="XU8">
        <v>0</v>
      </c>
      <c r="XV8">
        <v>8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2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2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2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2</v>
      </c>
      <c r="AFO8">
        <v>57</v>
      </c>
      <c r="AFP8">
        <v>18</v>
      </c>
      <c r="AFQ8">
        <v>17</v>
      </c>
      <c r="AFR8">
        <v>8</v>
      </c>
      <c r="AFS8">
        <v>0</v>
      </c>
      <c r="AFT8">
        <v>0</v>
      </c>
      <c r="AFU8">
        <v>9</v>
      </c>
      <c r="AFV8">
        <v>2</v>
      </c>
      <c r="AFW8">
        <v>3</v>
      </c>
      <c r="AFX8">
        <v>4</v>
      </c>
      <c r="AFY8">
        <v>399</v>
      </c>
      <c r="AFZ8">
        <v>448</v>
      </c>
      <c r="AGA8">
        <v>1</v>
      </c>
      <c r="AGB8">
        <v>49</v>
      </c>
      <c r="AGC8">
        <v>3</v>
      </c>
      <c r="AGD8" t="s">
        <v>1680</v>
      </c>
      <c r="AGE8">
        <v>14</v>
      </c>
      <c r="AGF8" t="s">
        <v>1676</v>
      </c>
      <c r="AGG8">
        <v>9</v>
      </c>
      <c r="AGH8">
        <v>34</v>
      </c>
      <c r="AGI8">
        <v>4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1.06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8</v>
      </c>
      <c r="AHB8">
        <v>5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2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1</v>
      </c>
      <c r="AKT8">
        <v>1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2</v>
      </c>
      <c r="ALA8">
        <v>0</v>
      </c>
      <c r="ALB8">
        <v>0</v>
      </c>
      <c r="ALC8">
        <v>0</v>
      </c>
      <c r="ALD8">
        <v>0</v>
      </c>
      <c r="ALE8">
        <v>1</v>
      </c>
      <c r="ALF8">
        <v>0</v>
      </c>
      <c r="ALG8">
        <v>3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7</v>
      </c>
      <c r="ALS8">
        <v>2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1</v>
      </c>
      <c r="ANR8">
        <v>0</v>
      </c>
      <c r="ANS8">
        <v>0</v>
      </c>
      <c r="ANT8">
        <v>0</v>
      </c>
      <c r="ANU8">
        <v>9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2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2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2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2</v>
      </c>
      <c r="AVN8">
        <v>81</v>
      </c>
      <c r="AVO8">
        <v>15</v>
      </c>
      <c r="AVP8">
        <v>18</v>
      </c>
      <c r="AVQ8">
        <v>5</v>
      </c>
      <c r="AVR8">
        <v>0</v>
      </c>
      <c r="AVS8">
        <v>1</v>
      </c>
      <c r="AVT8">
        <v>12</v>
      </c>
      <c r="AVU8">
        <v>1</v>
      </c>
      <c r="AVV8">
        <v>0</v>
      </c>
      <c r="AVW8">
        <v>2</v>
      </c>
      <c r="AVX8">
        <v>392</v>
      </c>
      <c r="AVY8">
        <v>448</v>
      </c>
      <c r="AVZ8">
        <v>1</v>
      </c>
      <c r="AWA8">
        <v>38</v>
      </c>
      <c r="AWB8">
        <v>3</v>
      </c>
      <c r="AWC8" t="s">
        <v>1676</v>
      </c>
      <c r="AWD8">
        <v>10</v>
      </c>
      <c r="AWE8" t="s">
        <v>1680</v>
      </c>
      <c r="AWF8">
        <v>11</v>
      </c>
      <c r="AWG8">
        <v>13</v>
      </c>
      <c r="AWH8">
        <v>3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0.83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4</v>
      </c>
      <c r="AXA8">
        <v>4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1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1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1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1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3</v>
      </c>
      <c r="BAZ8">
        <v>0</v>
      </c>
      <c r="BBA8">
        <v>0</v>
      </c>
      <c r="BBB8">
        <v>0</v>
      </c>
      <c r="BBC8">
        <v>0</v>
      </c>
      <c r="BBD8">
        <v>2</v>
      </c>
      <c r="BBE8">
        <v>0</v>
      </c>
      <c r="BBF8">
        <v>3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4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2</v>
      </c>
      <c r="BDQ8">
        <v>0</v>
      </c>
      <c r="BDR8">
        <v>0</v>
      </c>
      <c r="BDS8">
        <v>0</v>
      </c>
      <c r="BDT8">
        <v>6</v>
      </c>
      <c r="BDU8">
        <v>0</v>
      </c>
      <c r="BDV8">
        <v>0</v>
      </c>
      <c r="BDW8">
        <v>3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2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1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</row>
    <row r="9" spans="1:1675" x14ac:dyDescent="0.2">
      <c r="A9">
        <v>1</v>
      </c>
      <c r="B9">
        <v>6</v>
      </c>
      <c r="C9">
        <f t="shared" si="0"/>
        <v>76</v>
      </c>
      <c r="D9">
        <f t="shared" si="3"/>
        <v>924</v>
      </c>
      <c r="E9">
        <f t="shared" si="4"/>
        <v>8</v>
      </c>
      <c r="F9">
        <f t="shared" si="2"/>
        <v>8</v>
      </c>
      <c r="G9">
        <f t="shared" si="5"/>
        <v>3</v>
      </c>
      <c r="H9" cm="1">
        <f t="array" ref="H9">_xlfn.IFS(P9=0, 1, P9=7, 2, P9=5, 3)</f>
        <v>2</v>
      </c>
      <c r="I9" cm="1">
        <f t="array" ref="I9">_xlfn.IFS(H9=1, IF(AC9=0, P9, PO9), H9=2, IF(AC9=0, P9, AFN9), H9=3, IF(AC9=0, P9, AVM9))</f>
        <v>2</v>
      </c>
      <c r="J9" cm="1">
        <f t="array" ref="J9">_xlfn.IFS(I9=0, 1, I9=1, 0, I9=2, 7, I9=7, 2, I9=5, 6, I9=6, 5)</f>
        <v>7</v>
      </c>
      <c r="K9" t="str" cm="1">
        <f t="array" ref="K9">_xlfn.IFNA(_xlfn.IFS(P9&lt;&gt;P10, 1, A9&lt;&gt;A10, IF(P10=P9, 1)), "")</f>
        <v/>
      </c>
      <c r="L9" t="str">
        <f t="shared" si="1"/>
        <v/>
      </c>
      <c r="M9" t="s">
        <v>1733</v>
      </c>
      <c r="N9" t="s">
        <v>1682</v>
      </c>
      <c r="P9">
        <v>7</v>
      </c>
      <c r="Q9">
        <v>40</v>
      </c>
      <c r="R9">
        <v>17</v>
      </c>
      <c r="S9">
        <v>17</v>
      </c>
      <c r="T9">
        <v>1</v>
      </c>
      <c r="U9">
        <v>0</v>
      </c>
      <c r="V9">
        <v>0</v>
      </c>
      <c r="W9">
        <v>15</v>
      </c>
      <c r="X9">
        <v>1</v>
      </c>
      <c r="Y9">
        <v>1</v>
      </c>
      <c r="Z9">
        <v>0</v>
      </c>
      <c r="AA9">
        <v>345</v>
      </c>
      <c r="AB9">
        <v>396</v>
      </c>
      <c r="AC9">
        <v>1</v>
      </c>
      <c r="AD9">
        <v>39</v>
      </c>
      <c r="AE9">
        <v>3</v>
      </c>
      <c r="AF9" t="s">
        <v>1671</v>
      </c>
      <c r="AG9">
        <v>9</v>
      </c>
      <c r="AH9" t="s">
        <v>1678</v>
      </c>
      <c r="AI9">
        <v>11</v>
      </c>
      <c r="AJ9">
        <v>16</v>
      </c>
      <c r="AK9">
        <v>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</v>
      </c>
      <c r="CX9">
        <v>2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5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7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8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0</v>
      </c>
      <c r="HV9">
        <v>0</v>
      </c>
      <c r="HW9">
        <v>5</v>
      </c>
      <c r="HX9">
        <v>0</v>
      </c>
      <c r="HY9">
        <v>0</v>
      </c>
      <c r="HZ9">
        <v>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7</v>
      </c>
      <c r="PP9">
        <v>48</v>
      </c>
      <c r="PQ9">
        <v>10</v>
      </c>
      <c r="PR9">
        <v>20</v>
      </c>
      <c r="PS9">
        <v>7</v>
      </c>
      <c r="PT9">
        <v>0</v>
      </c>
      <c r="PU9">
        <v>0</v>
      </c>
      <c r="PV9">
        <v>6</v>
      </c>
      <c r="PW9">
        <v>2</v>
      </c>
      <c r="PX9">
        <v>1</v>
      </c>
      <c r="PY9">
        <v>1</v>
      </c>
      <c r="PZ9">
        <v>336</v>
      </c>
      <c r="QA9">
        <v>395</v>
      </c>
      <c r="QB9">
        <v>1</v>
      </c>
      <c r="QC9">
        <v>27</v>
      </c>
      <c r="QD9">
        <v>3</v>
      </c>
      <c r="QE9" t="s">
        <v>1671</v>
      </c>
      <c r="QF9">
        <v>6</v>
      </c>
      <c r="QG9" t="s">
        <v>1671</v>
      </c>
      <c r="QH9">
        <v>13</v>
      </c>
      <c r="QI9">
        <v>18</v>
      </c>
      <c r="QJ9">
        <v>3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0.5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7</v>
      </c>
      <c r="RC9">
        <v>1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3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2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1</v>
      </c>
      <c r="VG9">
        <v>0</v>
      </c>
      <c r="VH9">
        <v>2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3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1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1</v>
      </c>
      <c r="XS9">
        <v>0</v>
      </c>
      <c r="XT9">
        <v>0</v>
      </c>
      <c r="XU9">
        <v>0</v>
      </c>
      <c r="XV9">
        <v>2</v>
      </c>
      <c r="XW9">
        <v>0</v>
      </c>
      <c r="XX9">
        <v>0</v>
      </c>
      <c r="XY9">
        <v>3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2</v>
      </c>
      <c r="AFO9">
        <v>80</v>
      </c>
      <c r="AFP9">
        <v>19</v>
      </c>
      <c r="AFQ9">
        <v>15</v>
      </c>
      <c r="AFR9">
        <v>6</v>
      </c>
      <c r="AFS9">
        <v>0</v>
      </c>
      <c r="AFT9">
        <v>0</v>
      </c>
      <c r="AFU9">
        <v>12</v>
      </c>
      <c r="AFV9">
        <v>3</v>
      </c>
      <c r="AFW9">
        <v>1</v>
      </c>
      <c r="AFX9">
        <v>3</v>
      </c>
      <c r="AFY9">
        <v>351</v>
      </c>
      <c r="AFZ9">
        <v>395</v>
      </c>
      <c r="AGA9">
        <v>0</v>
      </c>
      <c r="AGB9">
        <v>42</v>
      </c>
      <c r="AGC9">
        <v>4</v>
      </c>
      <c r="AGD9" t="s">
        <v>1680</v>
      </c>
      <c r="AGE9">
        <v>13</v>
      </c>
      <c r="AGF9" t="s">
        <v>1676</v>
      </c>
      <c r="AGG9">
        <v>9</v>
      </c>
      <c r="AGH9">
        <v>20</v>
      </c>
      <c r="AGI9">
        <v>3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1.27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5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1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1</v>
      </c>
      <c r="AJD9">
        <v>0</v>
      </c>
      <c r="AJE9">
        <v>0</v>
      </c>
      <c r="AJF9">
        <v>2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1</v>
      </c>
      <c r="AJO9">
        <v>1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3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3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2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7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3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1</v>
      </c>
      <c r="AMM9">
        <v>0</v>
      </c>
      <c r="AMN9">
        <v>1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2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4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2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1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1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2</v>
      </c>
      <c r="AVN9">
        <v>70</v>
      </c>
      <c r="AVO9">
        <v>18</v>
      </c>
      <c r="AVP9">
        <v>12</v>
      </c>
      <c r="AVQ9">
        <v>6</v>
      </c>
      <c r="AVR9">
        <v>0</v>
      </c>
      <c r="AVS9">
        <v>0</v>
      </c>
      <c r="AVT9">
        <v>15</v>
      </c>
      <c r="AVU9">
        <v>2</v>
      </c>
      <c r="AVV9">
        <v>1</v>
      </c>
      <c r="AVW9">
        <v>0</v>
      </c>
      <c r="AVX9">
        <v>360</v>
      </c>
      <c r="AVY9">
        <v>395</v>
      </c>
      <c r="AVZ9">
        <v>0</v>
      </c>
      <c r="AWA9">
        <v>45</v>
      </c>
      <c r="AWB9">
        <v>4</v>
      </c>
      <c r="AWC9" t="s">
        <v>1676</v>
      </c>
      <c r="AWD9">
        <v>11</v>
      </c>
      <c r="AWE9" t="s">
        <v>1676</v>
      </c>
      <c r="AWF9">
        <v>8</v>
      </c>
      <c r="AWG9">
        <v>13</v>
      </c>
      <c r="AWH9">
        <v>4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1.5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6</v>
      </c>
      <c r="AXA9">
        <v>3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1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2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2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4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7</v>
      </c>
      <c r="BBR9">
        <v>1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1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3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1</v>
      </c>
      <c r="BDQ9">
        <v>0</v>
      </c>
      <c r="BDR9">
        <v>0</v>
      </c>
      <c r="BDS9">
        <v>0</v>
      </c>
      <c r="BDT9">
        <v>6</v>
      </c>
      <c r="BDU9">
        <v>0</v>
      </c>
      <c r="BDV9">
        <v>0</v>
      </c>
      <c r="BDW9">
        <v>3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4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1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</row>
    <row r="10" spans="1:1675" x14ac:dyDescent="0.2">
      <c r="A10">
        <v>1</v>
      </c>
      <c r="B10">
        <v>6</v>
      </c>
      <c r="C10">
        <f t="shared" si="0"/>
        <v>76</v>
      </c>
      <c r="D10">
        <f t="shared" si="3"/>
        <v>925</v>
      </c>
      <c r="E10">
        <f t="shared" si="4"/>
        <v>9</v>
      </c>
      <c r="F10">
        <f t="shared" si="2"/>
        <v>9</v>
      </c>
      <c r="G10">
        <f t="shared" si="5"/>
        <v>4</v>
      </c>
      <c r="H10" cm="1">
        <f t="array" ref="H10">_xlfn.IFS(P10=0, 1, P10=7, 2, P10=5, 3)</f>
        <v>2</v>
      </c>
      <c r="I10" cm="1">
        <f t="array" ref="I10">_xlfn.IFS(H10=1, IF(AC10=0, P10, PO10), H10=2, IF(AC10=0, P10, AFN10), H10=3, IF(AC10=0, P10, AVM10))</f>
        <v>7</v>
      </c>
      <c r="J10" cm="1">
        <f t="array" ref="J10">_xlfn.IFS(I10=0, 1, I10=1, 0, I10=2, 7, I10=7, 2, I10=5, 6, I10=6, 5)</f>
        <v>2</v>
      </c>
      <c r="K10" t="str" cm="1">
        <f t="array" ref="K10">_xlfn.IFNA(_xlfn.IFS(P10&lt;&gt;P11, 1, A10&lt;&gt;A11, IF(P11=P10, 1)), "")</f>
        <v/>
      </c>
      <c r="L10" t="str">
        <f t="shared" si="1"/>
        <v/>
      </c>
      <c r="M10" t="s">
        <v>1734</v>
      </c>
      <c r="N10" t="s">
        <v>1683</v>
      </c>
      <c r="P10">
        <v>7</v>
      </c>
      <c r="Q10">
        <v>83</v>
      </c>
      <c r="R10">
        <v>17</v>
      </c>
      <c r="S10">
        <v>10</v>
      </c>
      <c r="T10">
        <v>4</v>
      </c>
      <c r="U10">
        <v>0</v>
      </c>
      <c r="V10">
        <v>0</v>
      </c>
      <c r="W10">
        <v>11</v>
      </c>
      <c r="X10">
        <v>4</v>
      </c>
      <c r="Y10">
        <v>2</v>
      </c>
      <c r="Z10">
        <v>0</v>
      </c>
      <c r="AA10">
        <v>267</v>
      </c>
      <c r="AB10">
        <v>296</v>
      </c>
      <c r="AC10">
        <v>0</v>
      </c>
      <c r="AD10">
        <v>43</v>
      </c>
      <c r="AE10">
        <v>4</v>
      </c>
      <c r="AF10" t="s">
        <v>1678</v>
      </c>
      <c r="AG10">
        <v>10</v>
      </c>
      <c r="AH10" t="s">
        <v>1671</v>
      </c>
      <c r="AI10">
        <v>6</v>
      </c>
      <c r="AJ10">
        <v>20</v>
      </c>
      <c r="AK10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4</v>
      </c>
      <c r="FH10">
        <v>0</v>
      </c>
      <c r="FI10">
        <v>5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6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2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3</v>
      </c>
      <c r="HX10">
        <v>0</v>
      </c>
      <c r="HY10">
        <v>0</v>
      </c>
      <c r="HZ10">
        <v>3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2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7</v>
      </c>
      <c r="PP10">
        <v>67</v>
      </c>
      <c r="PQ10">
        <v>15</v>
      </c>
      <c r="PR10">
        <v>10</v>
      </c>
      <c r="PS10">
        <v>7</v>
      </c>
      <c r="PT10">
        <v>0</v>
      </c>
      <c r="PU10">
        <v>0</v>
      </c>
      <c r="PV10">
        <v>10</v>
      </c>
      <c r="PW10">
        <v>3</v>
      </c>
      <c r="PX10">
        <v>2</v>
      </c>
      <c r="PY10">
        <v>0</v>
      </c>
      <c r="PZ10">
        <v>266</v>
      </c>
      <c r="QA10">
        <v>295</v>
      </c>
      <c r="QB10">
        <v>0</v>
      </c>
      <c r="QC10">
        <v>41</v>
      </c>
      <c r="QD10">
        <v>7</v>
      </c>
      <c r="QE10" t="s">
        <v>1678</v>
      </c>
      <c r="QF10">
        <v>8</v>
      </c>
      <c r="QG10" t="s">
        <v>1671</v>
      </c>
      <c r="QH10">
        <v>6</v>
      </c>
      <c r="QI10">
        <v>30</v>
      </c>
      <c r="QJ10">
        <v>4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1.5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7</v>
      </c>
      <c r="RC10">
        <v>3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1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1</v>
      </c>
      <c r="SW10">
        <v>2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4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3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3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7</v>
      </c>
      <c r="VT10">
        <v>1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2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2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1</v>
      </c>
      <c r="XW10">
        <v>0</v>
      </c>
      <c r="XX10">
        <v>0</v>
      </c>
      <c r="XY10">
        <v>3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2</v>
      </c>
      <c r="AFO10">
        <v>28</v>
      </c>
      <c r="AFP10">
        <v>12</v>
      </c>
      <c r="AFQ10">
        <v>14</v>
      </c>
      <c r="AFR10">
        <v>3</v>
      </c>
      <c r="AFS10">
        <v>0</v>
      </c>
      <c r="AFT10">
        <v>0</v>
      </c>
      <c r="AFU10">
        <v>11</v>
      </c>
      <c r="AFV10">
        <v>0</v>
      </c>
      <c r="AFW10">
        <v>1</v>
      </c>
      <c r="AFX10">
        <v>0</v>
      </c>
      <c r="AFY10">
        <v>254</v>
      </c>
      <c r="AFZ10">
        <v>295</v>
      </c>
      <c r="AGA10">
        <v>1</v>
      </c>
      <c r="AGB10">
        <v>31</v>
      </c>
      <c r="AGC10">
        <v>4</v>
      </c>
      <c r="AGD10" t="s">
        <v>1676</v>
      </c>
      <c r="AGE10">
        <v>6</v>
      </c>
      <c r="AGF10" t="s">
        <v>1676</v>
      </c>
      <c r="AGG10">
        <v>7</v>
      </c>
      <c r="AGH10">
        <v>13</v>
      </c>
      <c r="AGI10">
        <v>5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0.86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3</v>
      </c>
      <c r="AHB10">
        <v>2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1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1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2</v>
      </c>
      <c r="AIV10">
        <v>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2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1</v>
      </c>
      <c r="AKY10">
        <v>0</v>
      </c>
      <c r="AKZ10">
        <v>1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2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6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2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2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4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2</v>
      </c>
      <c r="AVN10">
        <v>33</v>
      </c>
      <c r="AVO10">
        <v>8</v>
      </c>
      <c r="AVP10">
        <v>18</v>
      </c>
      <c r="AVQ10">
        <v>4</v>
      </c>
      <c r="AVR10">
        <v>0</v>
      </c>
      <c r="AVS10">
        <v>0</v>
      </c>
      <c r="AVT10">
        <v>4</v>
      </c>
      <c r="AVU10">
        <v>2</v>
      </c>
      <c r="AVV10">
        <v>1</v>
      </c>
      <c r="AVW10">
        <v>1</v>
      </c>
      <c r="AVX10">
        <v>242</v>
      </c>
      <c r="AVY10">
        <v>295</v>
      </c>
      <c r="AVZ10">
        <v>1</v>
      </c>
      <c r="AWA10">
        <v>24</v>
      </c>
      <c r="AWB10">
        <v>2</v>
      </c>
      <c r="AWC10" t="s">
        <v>1676</v>
      </c>
      <c r="AWD10">
        <v>4</v>
      </c>
      <c r="AWE10" t="s">
        <v>1676</v>
      </c>
      <c r="AWF10">
        <v>10</v>
      </c>
      <c r="AWG10">
        <v>13</v>
      </c>
      <c r="AWH10">
        <v>2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0.44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4</v>
      </c>
      <c r="AXA10">
        <v>2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2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1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2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2</v>
      </c>
      <c r="BBE10">
        <v>0</v>
      </c>
      <c r="BBF10">
        <v>1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5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1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2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2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</row>
    <row r="11" spans="1:1675" x14ac:dyDescent="0.2">
      <c r="A11">
        <v>1</v>
      </c>
      <c r="B11">
        <v>6</v>
      </c>
      <c r="C11">
        <f t="shared" si="0"/>
        <v>76</v>
      </c>
      <c r="D11">
        <f t="shared" si="3"/>
        <v>926</v>
      </c>
      <c r="E11">
        <f t="shared" si="4"/>
        <v>10</v>
      </c>
      <c r="F11">
        <f t="shared" si="2"/>
        <v>10</v>
      </c>
      <c r="G11">
        <f t="shared" si="5"/>
        <v>5</v>
      </c>
      <c r="H11" cm="1">
        <f t="array" ref="H11">_xlfn.IFS(P11=0, 1, P11=7, 2, P11=5, 3)</f>
        <v>2</v>
      </c>
      <c r="I11" cm="1">
        <f t="array" ref="I11">_xlfn.IFS(H11=1, IF(AC11=0, P11, PO11), H11=2, IF(AC11=0, P11, AFN11), H11=3, IF(AC11=0, P11, AVM11))</f>
        <v>7</v>
      </c>
      <c r="J11" cm="1">
        <f t="array" ref="J11">_xlfn.IFS(I11=0, 1, I11=1, 0, I11=2, 7, I11=7, 2, I11=5, 6, I11=6, 5)</f>
        <v>2</v>
      </c>
      <c r="K11" cm="1">
        <f t="array" ref="K11">_xlfn.IFNA(_xlfn.IFS(P11&lt;&gt;P12, 1, A11&lt;&gt;A12, IF(P12=P11, 1)), "")</f>
        <v>1</v>
      </c>
      <c r="L11">
        <f t="shared" si="1"/>
        <v>7</v>
      </c>
      <c r="M11" t="s">
        <v>1735</v>
      </c>
      <c r="N11" t="s">
        <v>1684</v>
      </c>
      <c r="P11">
        <v>7</v>
      </c>
      <c r="Q11">
        <v>79</v>
      </c>
      <c r="R11">
        <v>28</v>
      </c>
      <c r="S11">
        <v>22</v>
      </c>
      <c r="T11">
        <v>8</v>
      </c>
      <c r="U11">
        <v>0</v>
      </c>
      <c r="V11">
        <v>0</v>
      </c>
      <c r="W11">
        <v>18</v>
      </c>
      <c r="X11">
        <v>4</v>
      </c>
      <c r="Y11">
        <v>6</v>
      </c>
      <c r="Z11">
        <v>0</v>
      </c>
      <c r="AA11">
        <v>430</v>
      </c>
      <c r="AB11">
        <v>496</v>
      </c>
      <c r="AC11">
        <v>0</v>
      </c>
      <c r="AD11">
        <v>81</v>
      </c>
      <c r="AE11">
        <v>5</v>
      </c>
      <c r="AF11" t="s">
        <v>1678</v>
      </c>
      <c r="AG11">
        <v>15</v>
      </c>
      <c r="AH11" t="s">
        <v>1671</v>
      </c>
      <c r="AI11">
        <v>13</v>
      </c>
      <c r="AJ11">
        <v>13</v>
      </c>
      <c r="AK11">
        <v>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1.27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7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4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5</v>
      </c>
      <c r="FH11">
        <v>0</v>
      </c>
      <c r="FI11">
        <v>11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9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4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4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3</v>
      </c>
      <c r="HI11">
        <v>0</v>
      </c>
      <c r="HJ11">
        <v>3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7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4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7</v>
      </c>
      <c r="PP11">
        <v>71</v>
      </c>
      <c r="PQ11">
        <v>32</v>
      </c>
      <c r="PR11">
        <v>29</v>
      </c>
      <c r="PS11">
        <v>7</v>
      </c>
      <c r="PT11">
        <v>1</v>
      </c>
      <c r="PU11">
        <v>0</v>
      </c>
      <c r="PV11">
        <v>16</v>
      </c>
      <c r="PW11">
        <v>5</v>
      </c>
      <c r="PX11">
        <v>8</v>
      </c>
      <c r="PY11">
        <v>3</v>
      </c>
      <c r="PZ11">
        <v>404</v>
      </c>
      <c r="QA11">
        <v>496</v>
      </c>
      <c r="QB11">
        <v>0</v>
      </c>
      <c r="QC11">
        <v>72</v>
      </c>
      <c r="QD11">
        <v>3</v>
      </c>
      <c r="QE11" t="s">
        <v>1678</v>
      </c>
      <c r="QF11">
        <v>17</v>
      </c>
      <c r="QG11" t="s">
        <v>1671</v>
      </c>
      <c r="QH11">
        <v>15</v>
      </c>
      <c r="QI11">
        <v>13</v>
      </c>
      <c r="QJ11">
        <v>5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1.1000000000000001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6</v>
      </c>
      <c r="RC11">
        <v>3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2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1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2</v>
      </c>
      <c r="UV11">
        <v>0</v>
      </c>
      <c r="UW11">
        <v>0</v>
      </c>
      <c r="UX11">
        <v>0</v>
      </c>
      <c r="UY11">
        <v>3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4</v>
      </c>
      <c r="VG11">
        <v>0</v>
      </c>
      <c r="VH11">
        <v>6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11</v>
      </c>
      <c r="VT11">
        <v>2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2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3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3</v>
      </c>
      <c r="XH11">
        <v>0</v>
      </c>
      <c r="XI11">
        <v>2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2</v>
      </c>
      <c r="XS11">
        <v>0</v>
      </c>
      <c r="XT11">
        <v>0</v>
      </c>
      <c r="XU11">
        <v>0</v>
      </c>
      <c r="XV11">
        <v>12</v>
      </c>
      <c r="XW11">
        <v>0</v>
      </c>
      <c r="XX11">
        <v>0</v>
      </c>
      <c r="XY11">
        <v>4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1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2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1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2</v>
      </c>
      <c r="AFO11">
        <v>74</v>
      </c>
      <c r="AFP11">
        <v>28</v>
      </c>
      <c r="AFQ11">
        <v>29</v>
      </c>
      <c r="AFR11">
        <v>6</v>
      </c>
      <c r="AFS11">
        <v>0</v>
      </c>
      <c r="AFT11">
        <v>0</v>
      </c>
      <c r="AFU11">
        <v>18</v>
      </c>
      <c r="AFV11">
        <v>5</v>
      </c>
      <c r="AFW11">
        <v>5</v>
      </c>
      <c r="AFX11">
        <v>0</v>
      </c>
      <c r="AFY11">
        <v>409</v>
      </c>
      <c r="AFZ11">
        <v>496</v>
      </c>
      <c r="AGA11">
        <v>1</v>
      </c>
      <c r="AGB11">
        <v>70</v>
      </c>
      <c r="AGC11">
        <v>5</v>
      </c>
      <c r="AGD11" t="s">
        <v>1680</v>
      </c>
      <c r="AGE11">
        <v>15</v>
      </c>
      <c r="AGF11" t="s">
        <v>1680</v>
      </c>
      <c r="AGG11">
        <v>15</v>
      </c>
      <c r="AGH11">
        <v>13</v>
      </c>
      <c r="AGI11">
        <v>11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0.97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5</v>
      </c>
      <c r="AHB11">
        <v>8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1</v>
      </c>
      <c r="AIV11">
        <v>4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2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1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2</v>
      </c>
      <c r="ALA11">
        <v>0</v>
      </c>
      <c r="ALB11">
        <v>0</v>
      </c>
      <c r="ALC11">
        <v>0</v>
      </c>
      <c r="ALD11">
        <v>0</v>
      </c>
      <c r="ALE11">
        <v>4</v>
      </c>
      <c r="ALF11">
        <v>0</v>
      </c>
      <c r="ALG11">
        <v>9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14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1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2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4</v>
      </c>
      <c r="ANG11">
        <v>0</v>
      </c>
      <c r="ANH11">
        <v>1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2</v>
      </c>
      <c r="ANR11">
        <v>0</v>
      </c>
      <c r="ANS11">
        <v>0</v>
      </c>
      <c r="ANT11">
        <v>0</v>
      </c>
      <c r="ANU11">
        <v>5</v>
      </c>
      <c r="ANV11">
        <v>0</v>
      </c>
      <c r="ANW11">
        <v>0</v>
      </c>
      <c r="ANX11">
        <v>1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1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3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2</v>
      </c>
      <c r="AVN11">
        <v>41</v>
      </c>
      <c r="AVO11">
        <v>22</v>
      </c>
      <c r="AVP11">
        <v>32</v>
      </c>
      <c r="AVQ11">
        <v>12</v>
      </c>
      <c r="AVR11">
        <v>1</v>
      </c>
      <c r="AVS11">
        <v>0</v>
      </c>
      <c r="AVT11">
        <v>7</v>
      </c>
      <c r="AVU11">
        <v>6</v>
      </c>
      <c r="AVV11">
        <v>8</v>
      </c>
      <c r="AVW11">
        <v>1</v>
      </c>
      <c r="AVX11">
        <v>400</v>
      </c>
      <c r="AVY11">
        <v>496</v>
      </c>
      <c r="AVZ11">
        <v>1</v>
      </c>
      <c r="AWA11">
        <v>61</v>
      </c>
      <c r="AWB11">
        <v>3</v>
      </c>
      <c r="AWC11" t="s">
        <v>1680</v>
      </c>
      <c r="AWD11">
        <v>14</v>
      </c>
      <c r="AWE11" t="s">
        <v>1680</v>
      </c>
      <c r="AWF11">
        <v>17</v>
      </c>
      <c r="AWG11">
        <v>28</v>
      </c>
      <c r="AWH11">
        <v>6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0.69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12</v>
      </c>
      <c r="AXA11">
        <v>4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2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2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1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2</v>
      </c>
      <c r="BAT11">
        <v>0</v>
      </c>
      <c r="BAU11">
        <v>0</v>
      </c>
      <c r="BAV11">
        <v>0</v>
      </c>
      <c r="BAW11">
        <v>2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3</v>
      </c>
      <c r="BBE11">
        <v>0</v>
      </c>
      <c r="BBF11">
        <v>5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4</v>
      </c>
      <c r="BBR11">
        <v>1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1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5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4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9</v>
      </c>
      <c r="BDU11">
        <v>0</v>
      </c>
      <c r="BDV11">
        <v>0</v>
      </c>
      <c r="BDW11">
        <v>2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1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</row>
    <row r="12" spans="1:1675" x14ac:dyDescent="0.2">
      <c r="A12">
        <v>1</v>
      </c>
      <c r="B12">
        <v>6</v>
      </c>
      <c r="C12">
        <f t="shared" si="0"/>
        <v>76</v>
      </c>
      <c r="D12">
        <f t="shared" si="3"/>
        <v>927</v>
      </c>
      <c r="E12">
        <f t="shared" si="4"/>
        <v>11</v>
      </c>
      <c r="F12">
        <f t="shared" si="2"/>
        <v>11</v>
      </c>
      <c r="G12">
        <f t="shared" si="5"/>
        <v>1</v>
      </c>
      <c r="H12" cm="1">
        <f t="array" ref="H12">_xlfn.IFS(P12=0, 1, P12=7, 2, P12=5, 3)</f>
        <v>3</v>
      </c>
      <c r="I12" cm="1">
        <f t="array" ref="I12">_xlfn.IFS(H12=1, IF(AC12=0, P12, PO12), H12=2, IF(AC12=0, P12, AFN12), H12=3, IF(AC12=0, P12, AVM12))</f>
        <v>5</v>
      </c>
      <c r="J12" cm="1">
        <f t="array" ref="J12">_xlfn.IFS(I12=0, 1, I12=1, 0, I12=2, 7, I12=7, 2, I12=5, 6, I12=6, 5)</f>
        <v>6</v>
      </c>
      <c r="K12" t="str" cm="1">
        <f t="array" ref="K12">_xlfn.IFNA(_xlfn.IFS(P12&lt;&gt;P13, 1, A12&lt;&gt;A13, IF(P13=P12, 1)), "")</f>
        <v/>
      </c>
      <c r="L12" t="str">
        <f t="shared" si="1"/>
        <v/>
      </c>
      <c r="M12" t="s">
        <v>1736</v>
      </c>
      <c r="N12" t="s">
        <v>1685</v>
      </c>
      <c r="P12">
        <v>5</v>
      </c>
      <c r="Q12">
        <v>45</v>
      </c>
      <c r="R12">
        <v>20</v>
      </c>
      <c r="S12">
        <v>13</v>
      </c>
      <c r="T12">
        <v>8</v>
      </c>
      <c r="U12">
        <v>0</v>
      </c>
      <c r="V12">
        <v>0</v>
      </c>
      <c r="W12">
        <v>11</v>
      </c>
      <c r="X12">
        <v>4</v>
      </c>
      <c r="Y12">
        <v>4</v>
      </c>
      <c r="Z12">
        <v>1</v>
      </c>
      <c r="AA12">
        <v>343</v>
      </c>
      <c r="AB12">
        <v>382</v>
      </c>
      <c r="AC12">
        <v>0</v>
      </c>
      <c r="AD12">
        <v>52</v>
      </c>
      <c r="AE12">
        <v>6</v>
      </c>
      <c r="AF12" t="s">
        <v>1678</v>
      </c>
      <c r="AG12">
        <v>11</v>
      </c>
      <c r="AH12" t="s">
        <v>1678</v>
      </c>
      <c r="AI12">
        <v>7</v>
      </c>
      <c r="AJ12">
        <v>30</v>
      </c>
      <c r="AK12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1.54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7</v>
      </c>
      <c r="BD12">
        <v>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3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</v>
      </c>
      <c r="FC12">
        <v>0</v>
      </c>
      <c r="FD12">
        <v>0</v>
      </c>
      <c r="FE12">
        <v>0</v>
      </c>
      <c r="FF12">
        <v>0</v>
      </c>
      <c r="FG12">
        <v>2</v>
      </c>
      <c r="FH12">
        <v>0</v>
      </c>
      <c r="FI12">
        <v>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6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2</v>
      </c>
      <c r="HI12">
        <v>0</v>
      </c>
      <c r="HJ12">
        <v>3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9</v>
      </c>
      <c r="HX12">
        <v>0</v>
      </c>
      <c r="HY12">
        <v>0</v>
      </c>
      <c r="HZ12">
        <v>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2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6</v>
      </c>
      <c r="PP12">
        <v>42</v>
      </c>
      <c r="PQ12">
        <v>9</v>
      </c>
      <c r="PR12">
        <v>22</v>
      </c>
      <c r="PS12">
        <v>8</v>
      </c>
      <c r="PT12">
        <v>0</v>
      </c>
      <c r="PU12">
        <v>0</v>
      </c>
      <c r="PV12">
        <v>8</v>
      </c>
      <c r="PW12">
        <v>1</v>
      </c>
      <c r="PX12">
        <v>0</v>
      </c>
      <c r="PY12">
        <v>0</v>
      </c>
      <c r="PZ12">
        <v>316</v>
      </c>
      <c r="QA12">
        <v>382</v>
      </c>
      <c r="QB12">
        <v>1</v>
      </c>
      <c r="QC12">
        <v>38</v>
      </c>
      <c r="QD12">
        <v>2</v>
      </c>
      <c r="QE12" t="s">
        <v>1676</v>
      </c>
      <c r="QF12">
        <v>6</v>
      </c>
      <c r="QG12" t="s">
        <v>1671</v>
      </c>
      <c r="QH12">
        <v>13</v>
      </c>
      <c r="QI12">
        <v>18</v>
      </c>
      <c r="QJ12">
        <v>5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0.41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8</v>
      </c>
      <c r="RC12">
        <v>2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1</v>
      </c>
      <c r="SW12">
        <v>4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2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1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1</v>
      </c>
      <c r="VG12">
        <v>0</v>
      </c>
      <c r="VH12">
        <v>4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2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1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6</v>
      </c>
      <c r="XW12">
        <v>0</v>
      </c>
      <c r="XX12">
        <v>0</v>
      </c>
      <c r="XY12">
        <v>5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1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5</v>
      </c>
      <c r="AFO12">
        <v>105</v>
      </c>
      <c r="AFP12">
        <v>21</v>
      </c>
      <c r="AFQ12">
        <v>16</v>
      </c>
      <c r="AFR12">
        <v>5</v>
      </c>
      <c r="AFS12">
        <v>0</v>
      </c>
      <c r="AFT12">
        <v>0</v>
      </c>
      <c r="AFU12">
        <v>13</v>
      </c>
      <c r="AFV12">
        <v>4</v>
      </c>
      <c r="AFW12">
        <v>2</v>
      </c>
      <c r="AFX12">
        <v>2</v>
      </c>
      <c r="AFY12">
        <v>335</v>
      </c>
      <c r="AFZ12">
        <v>382</v>
      </c>
      <c r="AGA12">
        <v>0</v>
      </c>
      <c r="AGB12">
        <v>55</v>
      </c>
      <c r="AGC12">
        <v>4</v>
      </c>
      <c r="AGD12" t="s">
        <v>1680</v>
      </c>
      <c r="AGE12">
        <v>13</v>
      </c>
      <c r="AGF12" t="s">
        <v>1678</v>
      </c>
      <c r="AGG12">
        <v>13</v>
      </c>
      <c r="AGH12">
        <v>18</v>
      </c>
      <c r="AGI12">
        <v>3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1.31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5</v>
      </c>
      <c r="AHB12">
        <v>6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3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3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3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4</v>
      </c>
      <c r="ALF12">
        <v>0</v>
      </c>
      <c r="ALG12">
        <v>8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6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1</v>
      </c>
      <c r="ANG12">
        <v>0</v>
      </c>
      <c r="ANH12">
        <v>2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6</v>
      </c>
      <c r="ANV12">
        <v>0</v>
      </c>
      <c r="ANW12">
        <v>0</v>
      </c>
      <c r="ANX12">
        <v>3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1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2</v>
      </c>
      <c r="APC12">
        <v>0</v>
      </c>
      <c r="APD12">
        <v>1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6</v>
      </c>
      <c r="AVN12">
        <v>49</v>
      </c>
      <c r="AVO12">
        <v>20</v>
      </c>
      <c r="AVP12">
        <v>19</v>
      </c>
      <c r="AVQ12">
        <v>3</v>
      </c>
      <c r="AVR12">
        <v>0</v>
      </c>
      <c r="AVS12">
        <v>0</v>
      </c>
      <c r="AVT12">
        <v>14</v>
      </c>
      <c r="AVU12">
        <v>2</v>
      </c>
      <c r="AVV12">
        <v>3</v>
      </c>
      <c r="AVW12">
        <v>1</v>
      </c>
      <c r="AVX12">
        <v>325</v>
      </c>
      <c r="AVY12">
        <v>382</v>
      </c>
      <c r="AVZ12">
        <v>1</v>
      </c>
      <c r="AWA12">
        <v>49</v>
      </c>
      <c r="AWB12">
        <v>3</v>
      </c>
      <c r="AWC12" t="s">
        <v>1671</v>
      </c>
      <c r="AWD12">
        <v>13</v>
      </c>
      <c r="AWE12" t="s">
        <v>1676</v>
      </c>
      <c r="AWF12">
        <v>11</v>
      </c>
      <c r="AWG12">
        <v>13</v>
      </c>
      <c r="AWH12">
        <v>5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1.05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3</v>
      </c>
      <c r="AXA12">
        <v>3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1</v>
      </c>
      <c r="AYU12">
        <v>1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2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1</v>
      </c>
      <c r="AZN12">
        <v>1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1</v>
      </c>
      <c r="BAS12">
        <v>0</v>
      </c>
      <c r="BAT12">
        <v>0</v>
      </c>
      <c r="BAU12">
        <v>0</v>
      </c>
      <c r="BAV12">
        <v>0</v>
      </c>
      <c r="BAW12">
        <v>1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2</v>
      </c>
      <c r="BBE12">
        <v>0</v>
      </c>
      <c r="BBF12">
        <v>2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7</v>
      </c>
      <c r="BBR12">
        <v>1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1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1</v>
      </c>
      <c r="BCL12">
        <v>0</v>
      </c>
      <c r="BCM12">
        <v>1</v>
      </c>
      <c r="BCN12">
        <v>0</v>
      </c>
      <c r="BCO12">
        <v>0</v>
      </c>
      <c r="BCP12">
        <v>0</v>
      </c>
      <c r="BCQ12">
        <v>0</v>
      </c>
      <c r="BCR12">
        <v>2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1</v>
      </c>
      <c r="BDF12">
        <v>0</v>
      </c>
      <c r="BDG12">
        <v>2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1</v>
      </c>
      <c r="BDQ12">
        <v>0</v>
      </c>
      <c r="BDR12">
        <v>0</v>
      </c>
      <c r="BDS12">
        <v>0</v>
      </c>
      <c r="BDT12">
        <v>7</v>
      </c>
      <c r="BDU12">
        <v>0</v>
      </c>
      <c r="BDV12">
        <v>0</v>
      </c>
      <c r="BDW12">
        <v>2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2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1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1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1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</row>
    <row r="13" spans="1:1675" x14ac:dyDescent="0.2">
      <c r="A13">
        <v>1</v>
      </c>
      <c r="B13">
        <v>6</v>
      </c>
      <c r="C13">
        <f t="shared" si="0"/>
        <v>76</v>
      </c>
      <c r="D13">
        <f t="shared" si="3"/>
        <v>928</v>
      </c>
      <c r="E13">
        <f t="shared" si="4"/>
        <v>12</v>
      </c>
      <c r="F13">
        <f t="shared" si="2"/>
        <v>12</v>
      </c>
      <c r="G13">
        <f t="shared" si="5"/>
        <v>2</v>
      </c>
      <c r="H13" cm="1">
        <f t="array" ref="H13">_xlfn.IFS(P13=0, 1, P13=7, 2, P13=5, 3)</f>
        <v>3</v>
      </c>
      <c r="I13" cm="1">
        <f t="array" ref="I13">_xlfn.IFS(H13=1, IF(AC13=0, P13, PO13), H13=2, IF(AC13=0, P13, AFN13), H13=3, IF(AC13=0, P13, AVM13))</f>
        <v>5</v>
      </c>
      <c r="J13" cm="1">
        <f t="array" ref="J13">_xlfn.IFS(I13=0, 1, I13=1, 0, I13=2, 7, I13=7, 2, I13=5, 6, I13=6, 5)</f>
        <v>6</v>
      </c>
      <c r="K13" t="str" cm="1">
        <f t="array" ref="K13">_xlfn.IFNA(_xlfn.IFS(P13&lt;&gt;P14, 1, A13&lt;&gt;A14, IF(P14=P13, 1)), "")</f>
        <v/>
      </c>
      <c r="L13" t="str">
        <f t="shared" si="1"/>
        <v/>
      </c>
      <c r="M13" t="s">
        <v>1737</v>
      </c>
      <c r="N13" t="s">
        <v>1686</v>
      </c>
      <c r="P13">
        <v>5</v>
      </c>
      <c r="Q13">
        <v>73</v>
      </c>
      <c r="R13">
        <v>24</v>
      </c>
      <c r="S13">
        <v>23</v>
      </c>
      <c r="T13">
        <v>8</v>
      </c>
      <c r="U13">
        <v>0</v>
      </c>
      <c r="V13">
        <v>0</v>
      </c>
      <c r="W13">
        <v>18</v>
      </c>
      <c r="X13">
        <v>1</v>
      </c>
      <c r="Y13">
        <v>5</v>
      </c>
      <c r="Z13">
        <v>0</v>
      </c>
      <c r="AA13">
        <v>394</v>
      </c>
      <c r="AB13">
        <v>463</v>
      </c>
      <c r="AC13">
        <v>0</v>
      </c>
      <c r="AD13">
        <v>55</v>
      </c>
      <c r="AE13">
        <v>3</v>
      </c>
      <c r="AF13" t="s">
        <v>1680</v>
      </c>
      <c r="AG13">
        <v>13</v>
      </c>
      <c r="AH13" t="s">
        <v>1678</v>
      </c>
      <c r="AI13">
        <v>14</v>
      </c>
      <c r="AJ13">
        <v>13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1.04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8</v>
      </c>
      <c r="BD13">
        <v>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2</v>
      </c>
      <c r="FC13">
        <v>0</v>
      </c>
      <c r="FD13">
        <v>0</v>
      </c>
      <c r="FE13">
        <v>0</v>
      </c>
      <c r="FF13">
        <v>0</v>
      </c>
      <c r="FG13">
        <v>2</v>
      </c>
      <c r="FH13">
        <v>0</v>
      </c>
      <c r="FI13">
        <v>4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0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8</v>
      </c>
      <c r="HX13">
        <v>0</v>
      </c>
      <c r="HY13">
        <v>0</v>
      </c>
      <c r="HZ13">
        <v>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2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6</v>
      </c>
      <c r="PP13">
        <v>80</v>
      </c>
      <c r="PQ13">
        <v>24</v>
      </c>
      <c r="PR13">
        <v>22</v>
      </c>
      <c r="PS13">
        <v>4</v>
      </c>
      <c r="PT13">
        <v>0</v>
      </c>
      <c r="PU13">
        <v>0</v>
      </c>
      <c r="PV13">
        <v>10</v>
      </c>
      <c r="PW13">
        <v>3</v>
      </c>
      <c r="PX13">
        <v>9</v>
      </c>
      <c r="PY13">
        <v>2</v>
      </c>
      <c r="PZ13">
        <v>398</v>
      </c>
      <c r="QA13">
        <v>463</v>
      </c>
      <c r="QB13">
        <v>1</v>
      </c>
      <c r="QC13">
        <v>61</v>
      </c>
      <c r="QD13">
        <v>7</v>
      </c>
      <c r="QE13" t="s">
        <v>1671</v>
      </c>
      <c r="QF13">
        <v>15</v>
      </c>
      <c r="QG13" t="s">
        <v>1676</v>
      </c>
      <c r="QH13">
        <v>13</v>
      </c>
      <c r="QI13">
        <v>18</v>
      </c>
      <c r="QJ13">
        <v>4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1.0900000000000001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4</v>
      </c>
      <c r="RC13">
        <v>8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1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2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2</v>
      </c>
      <c r="SW13">
        <v>3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1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1</v>
      </c>
      <c r="TP13">
        <v>1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3</v>
      </c>
      <c r="UU13">
        <v>0</v>
      </c>
      <c r="UV13">
        <v>0</v>
      </c>
      <c r="UW13">
        <v>0</v>
      </c>
      <c r="UX13">
        <v>0</v>
      </c>
      <c r="UY13">
        <v>4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3</v>
      </c>
      <c r="VG13">
        <v>0</v>
      </c>
      <c r="VH13">
        <v>2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5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1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1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3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1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1</v>
      </c>
      <c r="XS13">
        <v>0</v>
      </c>
      <c r="XT13">
        <v>0</v>
      </c>
      <c r="XU13">
        <v>0</v>
      </c>
      <c r="XV13">
        <v>8</v>
      </c>
      <c r="XW13">
        <v>0</v>
      </c>
      <c r="XX13">
        <v>0</v>
      </c>
      <c r="XY13">
        <v>4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2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5</v>
      </c>
      <c r="AFO13">
        <v>77</v>
      </c>
      <c r="AFP13">
        <v>27</v>
      </c>
      <c r="AFQ13">
        <v>23</v>
      </c>
      <c r="AFR13">
        <v>10</v>
      </c>
      <c r="AFS13">
        <v>0</v>
      </c>
      <c r="AFT13">
        <v>0</v>
      </c>
      <c r="AFU13">
        <v>20</v>
      </c>
      <c r="AFV13">
        <v>1</v>
      </c>
      <c r="AFW13">
        <v>6</v>
      </c>
      <c r="AFX13">
        <v>0</v>
      </c>
      <c r="AFY13">
        <v>396</v>
      </c>
      <c r="AFZ13">
        <v>463</v>
      </c>
      <c r="AGA13">
        <v>0</v>
      </c>
      <c r="AGB13">
        <v>72</v>
      </c>
      <c r="AGC13">
        <v>3</v>
      </c>
      <c r="AGD13" t="s">
        <v>1678</v>
      </c>
      <c r="AGE13">
        <v>18</v>
      </c>
      <c r="AGF13" t="s">
        <v>1680</v>
      </c>
      <c r="AGG13">
        <v>15</v>
      </c>
      <c r="AGH13">
        <v>13</v>
      </c>
      <c r="AGI13">
        <v>7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1.17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10</v>
      </c>
      <c r="AHB13">
        <v>12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1</v>
      </c>
      <c r="AIK13">
        <v>1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1</v>
      </c>
      <c r="AIV13">
        <v>1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1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1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1</v>
      </c>
      <c r="AKT13">
        <v>0</v>
      </c>
      <c r="AKU13">
        <v>0</v>
      </c>
      <c r="AKV13">
        <v>0</v>
      </c>
      <c r="AKW13">
        <v>0</v>
      </c>
      <c r="AKX13">
        <v>2</v>
      </c>
      <c r="AKY13">
        <v>0</v>
      </c>
      <c r="AKZ13">
        <v>1</v>
      </c>
      <c r="ALA13">
        <v>0</v>
      </c>
      <c r="ALB13">
        <v>0</v>
      </c>
      <c r="ALC13">
        <v>0</v>
      </c>
      <c r="ALD13">
        <v>0</v>
      </c>
      <c r="ALE13">
        <v>4</v>
      </c>
      <c r="ALF13">
        <v>0</v>
      </c>
      <c r="ALG13">
        <v>4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12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1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1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4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4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2</v>
      </c>
      <c r="ANR13">
        <v>0</v>
      </c>
      <c r="ANS13">
        <v>0</v>
      </c>
      <c r="ANT13">
        <v>0</v>
      </c>
      <c r="ANU13">
        <v>4</v>
      </c>
      <c r="ANV13">
        <v>0</v>
      </c>
      <c r="ANW13">
        <v>0</v>
      </c>
      <c r="ANX13">
        <v>2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2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6</v>
      </c>
      <c r="AVN13">
        <v>66</v>
      </c>
      <c r="AVO13">
        <v>22</v>
      </c>
      <c r="AVP13">
        <v>29</v>
      </c>
      <c r="AVQ13">
        <v>6</v>
      </c>
      <c r="AVR13">
        <v>0</v>
      </c>
      <c r="AVS13">
        <v>0</v>
      </c>
      <c r="AVT13">
        <v>16</v>
      </c>
      <c r="AVU13">
        <v>3</v>
      </c>
      <c r="AVV13">
        <v>3</v>
      </c>
      <c r="AVW13">
        <v>0</v>
      </c>
      <c r="AVX13">
        <v>377</v>
      </c>
      <c r="AVY13">
        <v>463</v>
      </c>
      <c r="AVZ13">
        <v>1</v>
      </c>
      <c r="AWA13">
        <v>58</v>
      </c>
      <c r="AWB13">
        <v>3</v>
      </c>
      <c r="AWC13" t="s">
        <v>1676</v>
      </c>
      <c r="AWD13">
        <v>14</v>
      </c>
      <c r="AWE13" t="s">
        <v>1671</v>
      </c>
      <c r="AWF13">
        <v>18</v>
      </c>
      <c r="AWG13">
        <v>13</v>
      </c>
      <c r="AWH13">
        <v>6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0.76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6</v>
      </c>
      <c r="AXA13">
        <v>5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1</v>
      </c>
      <c r="AYU13">
        <v>2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1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1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3</v>
      </c>
      <c r="BAS13">
        <v>0</v>
      </c>
      <c r="BAT13">
        <v>0</v>
      </c>
      <c r="BAU13">
        <v>0</v>
      </c>
      <c r="BAV13">
        <v>0</v>
      </c>
      <c r="BAW13">
        <v>1</v>
      </c>
      <c r="BAX13">
        <v>0</v>
      </c>
      <c r="BAY13">
        <v>2</v>
      </c>
      <c r="BAZ13">
        <v>0</v>
      </c>
      <c r="BBA13">
        <v>0</v>
      </c>
      <c r="BBB13">
        <v>0</v>
      </c>
      <c r="BBC13">
        <v>0</v>
      </c>
      <c r="BBD13">
        <v>3</v>
      </c>
      <c r="BBE13">
        <v>0</v>
      </c>
      <c r="BBF13">
        <v>5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9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1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2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3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2</v>
      </c>
      <c r="BDQ13">
        <v>0</v>
      </c>
      <c r="BDR13">
        <v>0</v>
      </c>
      <c r="BDS13">
        <v>0</v>
      </c>
      <c r="BDT13">
        <v>8</v>
      </c>
      <c r="BDU13">
        <v>0</v>
      </c>
      <c r="BDV13">
        <v>0</v>
      </c>
      <c r="BDW13">
        <v>3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</row>
    <row r="14" spans="1:1675" x14ac:dyDescent="0.2">
      <c r="A14">
        <v>1</v>
      </c>
      <c r="B14">
        <v>6</v>
      </c>
      <c r="C14">
        <f t="shared" si="0"/>
        <v>76</v>
      </c>
      <c r="D14">
        <f t="shared" si="3"/>
        <v>929</v>
      </c>
      <c r="E14">
        <f t="shared" si="4"/>
        <v>13</v>
      </c>
      <c r="F14">
        <f t="shared" si="2"/>
        <v>13</v>
      </c>
      <c r="G14">
        <f t="shared" si="5"/>
        <v>3</v>
      </c>
      <c r="H14" cm="1">
        <f t="array" ref="H14">_xlfn.IFS(P14=0, 1, P14=7, 2, P14=5, 3)</f>
        <v>3</v>
      </c>
      <c r="I14" cm="1">
        <f t="array" ref="I14">_xlfn.IFS(H14=1, IF(AC14=0, P14, PO14), H14=2, IF(AC14=0, P14, AFN14), H14=3, IF(AC14=0, P14, AVM14))</f>
        <v>5</v>
      </c>
      <c r="J14" cm="1">
        <f t="array" ref="J14">_xlfn.IFS(I14=0, 1, I14=1, 0, I14=2, 7, I14=7, 2, I14=5, 6, I14=6, 5)</f>
        <v>6</v>
      </c>
      <c r="K14" cm="1">
        <f t="array" ref="K14">_xlfn.IFNA(_xlfn.IFS(P14&lt;&gt;P15, 1, A14&lt;&gt;A15, IF(P15=P14, 1)), "")</f>
        <v>1</v>
      </c>
      <c r="L14">
        <f t="shared" si="1"/>
        <v>5</v>
      </c>
      <c r="M14" t="s">
        <v>1738</v>
      </c>
      <c r="N14" t="s">
        <v>1687</v>
      </c>
      <c r="P14">
        <v>5</v>
      </c>
      <c r="Q14">
        <v>35</v>
      </c>
      <c r="R14">
        <v>20</v>
      </c>
      <c r="S14">
        <v>11</v>
      </c>
      <c r="T14">
        <v>2</v>
      </c>
      <c r="U14">
        <v>0</v>
      </c>
      <c r="V14">
        <v>2</v>
      </c>
      <c r="W14">
        <v>18</v>
      </c>
      <c r="X14">
        <v>1</v>
      </c>
      <c r="Y14">
        <v>1</v>
      </c>
      <c r="Z14">
        <v>0</v>
      </c>
      <c r="AA14">
        <v>306</v>
      </c>
      <c r="AB14">
        <v>345</v>
      </c>
      <c r="AC14">
        <v>0</v>
      </c>
      <c r="AD14">
        <v>42</v>
      </c>
      <c r="AE14">
        <v>7</v>
      </c>
      <c r="AF14" t="s">
        <v>1678</v>
      </c>
      <c r="AG14">
        <v>14</v>
      </c>
      <c r="AH14" t="s">
        <v>1680</v>
      </c>
      <c r="AI14">
        <v>6</v>
      </c>
      <c r="AJ14">
        <v>115</v>
      </c>
      <c r="AK14">
        <v>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1.82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3</v>
      </c>
      <c r="FH14">
        <v>0</v>
      </c>
      <c r="FI14">
        <v>3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7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1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3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0</v>
      </c>
      <c r="HU14">
        <v>0</v>
      </c>
      <c r="HV14">
        <v>0</v>
      </c>
      <c r="HW14">
        <v>2</v>
      </c>
      <c r="HX14">
        <v>0</v>
      </c>
      <c r="HY14">
        <v>0</v>
      </c>
      <c r="HZ14">
        <v>3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7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6</v>
      </c>
      <c r="PP14">
        <v>63</v>
      </c>
      <c r="PQ14">
        <v>16</v>
      </c>
      <c r="PR14">
        <v>14</v>
      </c>
      <c r="PS14">
        <v>1</v>
      </c>
      <c r="PT14">
        <v>0</v>
      </c>
      <c r="PU14">
        <v>0</v>
      </c>
      <c r="PV14">
        <v>12</v>
      </c>
      <c r="PW14">
        <v>1</v>
      </c>
      <c r="PX14">
        <v>3</v>
      </c>
      <c r="PY14">
        <v>0</v>
      </c>
      <c r="PZ14">
        <v>303</v>
      </c>
      <c r="QA14">
        <v>345</v>
      </c>
      <c r="QB14">
        <v>1</v>
      </c>
      <c r="QC14">
        <v>38</v>
      </c>
      <c r="QD14">
        <v>7</v>
      </c>
      <c r="QE14" t="s">
        <v>1671</v>
      </c>
      <c r="QF14">
        <v>10</v>
      </c>
      <c r="QG14" t="s">
        <v>1671</v>
      </c>
      <c r="QH14">
        <v>8</v>
      </c>
      <c r="QI14">
        <v>33</v>
      </c>
      <c r="QJ14">
        <v>6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1.1399999999999999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1</v>
      </c>
      <c r="RC14">
        <v>4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2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2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1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6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1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2</v>
      </c>
      <c r="VG14">
        <v>0</v>
      </c>
      <c r="VH14">
        <v>3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3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1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3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2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4</v>
      </c>
      <c r="XW14">
        <v>0</v>
      </c>
      <c r="XX14">
        <v>0</v>
      </c>
      <c r="XY14">
        <v>1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1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5</v>
      </c>
      <c r="AFO14">
        <v>115</v>
      </c>
      <c r="AFP14">
        <v>14</v>
      </c>
      <c r="AFQ14">
        <v>13</v>
      </c>
      <c r="AFR14">
        <v>7</v>
      </c>
      <c r="AFS14">
        <v>0</v>
      </c>
      <c r="AFT14">
        <v>0</v>
      </c>
      <c r="AFU14">
        <v>6</v>
      </c>
      <c r="AFV14">
        <v>5</v>
      </c>
      <c r="AFW14">
        <v>2</v>
      </c>
      <c r="AFX14">
        <v>1</v>
      </c>
      <c r="AFY14">
        <v>307</v>
      </c>
      <c r="AFZ14">
        <v>345</v>
      </c>
      <c r="AGA14">
        <v>0</v>
      </c>
      <c r="AGB14">
        <v>41</v>
      </c>
      <c r="AGC14">
        <v>4</v>
      </c>
      <c r="AGD14" t="s">
        <v>1680</v>
      </c>
      <c r="AGE14">
        <v>8</v>
      </c>
      <c r="AGF14" t="s">
        <v>1680</v>
      </c>
      <c r="AGG14">
        <v>10</v>
      </c>
      <c r="AGH14">
        <v>20</v>
      </c>
      <c r="AGI14">
        <v>5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1.08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7</v>
      </c>
      <c r="AHB14">
        <v>2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1</v>
      </c>
      <c r="AIV14">
        <v>1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1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3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5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5</v>
      </c>
      <c r="ALF14">
        <v>0</v>
      </c>
      <c r="ALG14">
        <v>3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2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1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1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1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1</v>
      </c>
      <c r="ANR14">
        <v>0</v>
      </c>
      <c r="ANS14">
        <v>0</v>
      </c>
      <c r="ANT14">
        <v>0</v>
      </c>
      <c r="ANU14">
        <v>4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1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1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6</v>
      </c>
      <c r="AVN14">
        <v>32</v>
      </c>
      <c r="AVO14">
        <v>6</v>
      </c>
      <c r="AVP14">
        <v>20</v>
      </c>
      <c r="AVQ14">
        <v>5</v>
      </c>
      <c r="AVR14">
        <v>0</v>
      </c>
      <c r="AVS14">
        <v>0</v>
      </c>
      <c r="AVT14">
        <v>6</v>
      </c>
      <c r="AVU14">
        <v>0</v>
      </c>
      <c r="AVV14">
        <v>0</v>
      </c>
      <c r="AVW14">
        <v>0</v>
      </c>
      <c r="AVX14">
        <v>286</v>
      </c>
      <c r="AVY14">
        <v>345</v>
      </c>
      <c r="AVZ14">
        <v>1</v>
      </c>
      <c r="AWA14">
        <v>27</v>
      </c>
      <c r="AWB14">
        <v>1</v>
      </c>
      <c r="AWC14" t="s">
        <v>1671</v>
      </c>
      <c r="AWD14">
        <v>3</v>
      </c>
      <c r="AWE14" t="s">
        <v>1676</v>
      </c>
      <c r="AWF14">
        <v>14</v>
      </c>
      <c r="AWG14">
        <v>13</v>
      </c>
      <c r="AWH14">
        <v>3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0.3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4</v>
      </c>
      <c r="AXA14">
        <v>3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1</v>
      </c>
      <c r="AYU14">
        <v>3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1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1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</v>
      </c>
      <c r="BAZ14">
        <v>0</v>
      </c>
      <c r="BBA14">
        <v>0</v>
      </c>
      <c r="BBB14">
        <v>0</v>
      </c>
      <c r="BBC14">
        <v>0</v>
      </c>
      <c r="BBD14">
        <v>1</v>
      </c>
      <c r="BBE14">
        <v>0</v>
      </c>
      <c r="BBF14">
        <v>3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3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1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1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1</v>
      </c>
      <c r="BDQ14">
        <v>0</v>
      </c>
      <c r="BDR14">
        <v>0</v>
      </c>
      <c r="BDS14">
        <v>0</v>
      </c>
      <c r="BDT14">
        <v>3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</row>
    <row r="15" spans="1:1675" x14ac:dyDescent="0.2">
      <c r="A15">
        <v>2</v>
      </c>
      <c r="B15">
        <v>6</v>
      </c>
      <c r="C15">
        <f t="shared" si="0"/>
        <v>77</v>
      </c>
      <c r="D15">
        <f t="shared" si="3"/>
        <v>930</v>
      </c>
      <c r="E15">
        <f t="shared" si="4"/>
        <v>14</v>
      </c>
      <c r="F15">
        <f t="shared" si="2"/>
        <v>1</v>
      </c>
      <c r="G15">
        <f t="shared" si="5"/>
        <v>1</v>
      </c>
      <c r="H15" cm="1">
        <f t="array" ref="H15">_xlfn.IFS(P15=0, 1, P15=7, 2, P15=5, 3)</f>
        <v>2</v>
      </c>
      <c r="I15" cm="1">
        <f t="array" ref="I15">_xlfn.IFS(H15=1, IF(AC15=0, P15, PO15), H15=2, IF(AC15=0, P15, AFN15), H15=3, IF(AC15=0, P15, AVM15))</f>
        <v>2</v>
      </c>
      <c r="J15" cm="1">
        <f t="array" ref="J15">_xlfn.IFS(I15=0, 1, I15=1, 0, I15=2, 7, I15=7, 2, I15=5, 6, I15=6, 5)</f>
        <v>7</v>
      </c>
      <c r="K15" t="str" cm="1">
        <f t="array" ref="K15">_xlfn.IFNA(_xlfn.IFS(P15&lt;&gt;P16, 1, A15&lt;&gt;A16, IF(P16=P15, 1)), "")</f>
        <v/>
      </c>
      <c r="L15" t="str">
        <f t="shared" si="1"/>
        <v/>
      </c>
      <c r="M15" t="s">
        <v>1727</v>
      </c>
      <c r="N15" t="s">
        <v>1690</v>
      </c>
      <c r="P15">
        <v>7</v>
      </c>
      <c r="Q15">
        <v>44</v>
      </c>
      <c r="R15">
        <v>8</v>
      </c>
      <c r="S15">
        <v>12</v>
      </c>
      <c r="T15">
        <v>2</v>
      </c>
      <c r="U15">
        <v>0</v>
      </c>
      <c r="V15">
        <v>0</v>
      </c>
      <c r="W15">
        <v>5</v>
      </c>
      <c r="X15">
        <v>0</v>
      </c>
      <c r="Y15">
        <v>1</v>
      </c>
      <c r="Z15">
        <v>2</v>
      </c>
      <c r="AA15">
        <v>407</v>
      </c>
      <c r="AB15">
        <v>443</v>
      </c>
      <c r="AC15">
        <v>1</v>
      </c>
      <c r="AD15">
        <v>21</v>
      </c>
      <c r="AE15">
        <v>3</v>
      </c>
      <c r="AF15" t="s">
        <v>1671</v>
      </c>
      <c r="AG15">
        <v>5</v>
      </c>
      <c r="AH15" t="s">
        <v>1678</v>
      </c>
      <c r="AI15">
        <v>7</v>
      </c>
      <c r="AJ15">
        <v>13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0.67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4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2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2</v>
      </c>
      <c r="HT15">
        <v>0</v>
      </c>
      <c r="HU15">
        <v>0</v>
      </c>
      <c r="HV15">
        <v>0</v>
      </c>
      <c r="HW15">
        <v>2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7</v>
      </c>
      <c r="PP15">
        <v>92</v>
      </c>
      <c r="PQ15">
        <v>14</v>
      </c>
      <c r="PR15">
        <v>13</v>
      </c>
      <c r="PS15">
        <v>3</v>
      </c>
      <c r="PT15">
        <v>0</v>
      </c>
      <c r="PU15">
        <v>1</v>
      </c>
      <c r="PV15">
        <v>7</v>
      </c>
      <c r="PW15">
        <v>1</v>
      </c>
      <c r="PX15">
        <v>5</v>
      </c>
      <c r="PY15">
        <v>1</v>
      </c>
      <c r="PZ15">
        <v>401</v>
      </c>
      <c r="QA15">
        <v>443</v>
      </c>
      <c r="QB15">
        <v>1</v>
      </c>
      <c r="QC15">
        <v>30</v>
      </c>
      <c r="QD15">
        <v>4</v>
      </c>
      <c r="QE15" t="s">
        <v>1678</v>
      </c>
      <c r="QF15">
        <v>10</v>
      </c>
      <c r="QG15" t="s">
        <v>1671</v>
      </c>
      <c r="QH15">
        <v>8</v>
      </c>
      <c r="QI15">
        <v>30</v>
      </c>
      <c r="QJ15">
        <v>3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1.08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2</v>
      </c>
      <c r="RC15">
        <v>4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1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1</v>
      </c>
      <c r="UU15">
        <v>0</v>
      </c>
      <c r="UV15">
        <v>0</v>
      </c>
      <c r="UW15">
        <v>0</v>
      </c>
      <c r="UX15">
        <v>0</v>
      </c>
      <c r="UY15">
        <v>2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</v>
      </c>
      <c r="VG15">
        <v>0</v>
      </c>
      <c r="VH15">
        <v>3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5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3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1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3</v>
      </c>
      <c r="XW15">
        <v>0</v>
      </c>
      <c r="XX15">
        <v>0</v>
      </c>
      <c r="XY15">
        <v>1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2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2</v>
      </c>
      <c r="AFO15">
        <v>105</v>
      </c>
      <c r="AFP15">
        <v>13</v>
      </c>
      <c r="AFQ15">
        <v>9</v>
      </c>
      <c r="AFR15">
        <v>5</v>
      </c>
      <c r="AFS15">
        <v>0</v>
      </c>
      <c r="AFT15">
        <v>0</v>
      </c>
      <c r="AFU15">
        <v>11</v>
      </c>
      <c r="AFV15">
        <v>0</v>
      </c>
      <c r="AFW15">
        <v>0</v>
      </c>
      <c r="AFX15">
        <v>2</v>
      </c>
      <c r="AFY15">
        <v>416</v>
      </c>
      <c r="AFZ15">
        <v>443</v>
      </c>
      <c r="AGA15">
        <v>0</v>
      </c>
      <c r="AGB15">
        <v>35</v>
      </c>
      <c r="AGC15">
        <v>4</v>
      </c>
      <c r="AGD15" t="s">
        <v>1680</v>
      </c>
      <c r="AGE15">
        <v>8</v>
      </c>
      <c r="AGF15" t="s">
        <v>1676</v>
      </c>
      <c r="AGG15">
        <v>5</v>
      </c>
      <c r="AGH15">
        <v>18</v>
      </c>
      <c r="AGI15">
        <v>3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1.44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5</v>
      </c>
      <c r="AHB15">
        <v>3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1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1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1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1</v>
      </c>
      <c r="AJO15">
        <v>1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2</v>
      </c>
      <c r="ALA15">
        <v>0</v>
      </c>
      <c r="ALB15">
        <v>0</v>
      </c>
      <c r="ALC15">
        <v>0</v>
      </c>
      <c r="ALD15">
        <v>0</v>
      </c>
      <c r="ALE15">
        <v>1</v>
      </c>
      <c r="ALF15">
        <v>0</v>
      </c>
      <c r="ALG15">
        <v>3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2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1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2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2</v>
      </c>
      <c r="ANV15">
        <v>0</v>
      </c>
      <c r="ANW15">
        <v>0</v>
      </c>
      <c r="ANX15">
        <v>3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3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1</v>
      </c>
      <c r="APS15">
        <v>0</v>
      </c>
      <c r="APT15">
        <v>2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2</v>
      </c>
      <c r="AVN15">
        <v>45</v>
      </c>
      <c r="AVO15">
        <v>11</v>
      </c>
      <c r="AVP15">
        <v>13</v>
      </c>
      <c r="AVQ15">
        <v>6</v>
      </c>
      <c r="AVR15">
        <v>0</v>
      </c>
      <c r="AVS15">
        <v>0</v>
      </c>
      <c r="AVT15">
        <v>8</v>
      </c>
      <c r="AVU15">
        <v>0</v>
      </c>
      <c r="AVV15">
        <v>2</v>
      </c>
      <c r="AVW15">
        <v>1</v>
      </c>
      <c r="AVX15">
        <v>404</v>
      </c>
      <c r="AVY15">
        <v>443</v>
      </c>
      <c r="AVZ15">
        <v>0</v>
      </c>
      <c r="AWA15">
        <v>26</v>
      </c>
      <c r="AWB15">
        <v>4</v>
      </c>
      <c r="AWC15" t="s">
        <v>1676</v>
      </c>
      <c r="AWD15">
        <v>7</v>
      </c>
      <c r="AWE15" t="s">
        <v>1680</v>
      </c>
      <c r="AWF15">
        <v>10</v>
      </c>
      <c r="AWG15">
        <v>13</v>
      </c>
      <c r="AWH15">
        <v>3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0.85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6</v>
      </c>
      <c r="AXA15">
        <v>1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2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1</v>
      </c>
      <c r="BAZ15">
        <v>0</v>
      </c>
      <c r="BBA15">
        <v>0</v>
      </c>
      <c r="BBB15">
        <v>0</v>
      </c>
      <c r="BBC15">
        <v>0</v>
      </c>
      <c r="BBD15">
        <v>2</v>
      </c>
      <c r="BBE15">
        <v>0</v>
      </c>
      <c r="BBF15">
        <v>1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7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2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1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2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1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</row>
    <row r="16" spans="1:1675" x14ac:dyDescent="0.2">
      <c r="A16">
        <v>2</v>
      </c>
      <c r="B16">
        <v>6</v>
      </c>
      <c r="C16">
        <f t="shared" si="0"/>
        <v>77</v>
      </c>
      <c r="D16">
        <f t="shared" si="3"/>
        <v>931</v>
      </c>
      <c r="E16">
        <f t="shared" si="4"/>
        <v>15</v>
      </c>
      <c r="F16">
        <f t="shared" si="2"/>
        <v>2</v>
      </c>
      <c r="G16">
        <f t="shared" si="5"/>
        <v>2</v>
      </c>
      <c r="H16" cm="1">
        <f t="array" ref="H16">_xlfn.IFS(P16=0, 1, P16=7, 2, P16=5, 3)</f>
        <v>2</v>
      </c>
      <c r="I16" cm="1">
        <f t="array" ref="I16">_xlfn.IFS(H16=1, IF(AC16=0, P16, PO16), H16=2, IF(AC16=0, P16, AFN16), H16=3, IF(AC16=0, P16, AVM16))</f>
        <v>7</v>
      </c>
      <c r="J16" cm="1">
        <f t="array" ref="J16">_xlfn.IFS(I16=0, 1, I16=1, 0, I16=2, 7, I16=7, 2, I16=5, 6, I16=6, 5)</f>
        <v>2</v>
      </c>
      <c r="K16" t="str" cm="1">
        <f t="array" ref="K16">_xlfn.IFNA(_xlfn.IFS(P16&lt;&gt;P17, 1, A16&lt;&gt;A17, IF(P17=P16, 1)), "")</f>
        <v/>
      </c>
      <c r="L16" t="str">
        <f t="shared" si="1"/>
        <v/>
      </c>
      <c r="M16" t="s">
        <v>1739</v>
      </c>
      <c r="N16" t="s">
        <v>1691</v>
      </c>
      <c r="P16">
        <v>7</v>
      </c>
      <c r="Q16">
        <v>106</v>
      </c>
      <c r="R16">
        <v>11</v>
      </c>
      <c r="S16">
        <v>7</v>
      </c>
      <c r="T16">
        <v>4</v>
      </c>
      <c r="U16">
        <v>0</v>
      </c>
      <c r="V16">
        <v>0</v>
      </c>
      <c r="W16">
        <v>10</v>
      </c>
      <c r="X16">
        <v>1</v>
      </c>
      <c r="Y16">
        <v>0</v>
      </c>
      <c r="Z16">
        <v>0</v>
      </c>
      <c r="AA16">
        <v>324</v>
      </c>
      <c r="AB16">
        <v>345</v>
      </c>
      <c r="AC16">
        <v>0</v>
      </c>
      <c r="AD16">
        <v>26</v>
      </c>
      <c r="AE16">
        <v>3</v>
      </c>
      <c r="AF16" t="s">
        <v>1678</v>
      </c>
      <c r="AG16">
        <v>6</v>
      </c>
      <c r="AH16" t="s">
        <v>1678</v>
      </c>
      <c r="AI16">
        <v>4</v>
      </c>
      <c r="AJ16">
        <v>13</v>
      </c>
      <c r="AK16">
        <v>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1.57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0</v>
      </c>
      <c r="FG16">
        <v>3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5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3</v>
      </c>
      <c r="HX16">
        <v>0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7</v>
      </c>
      <c r="PP16">
        <v>44</v>
      </c>
      <c r="PQ16">
        <v>14</v>
      </c>
      <c r="PR16">
        <v>12</v>
      </c>
      <c r="PS16">
        <v>4</v>
      </c>
      <c r="PT16">
        <v>0</v>
      </c>
      <c r="PU16">
        <v>0</v>
      </c>
      <c r="PV16">
        <v>12</v>
      </c>
      <c r="PW16">
        <v>0</v>
      </c>
      <c r="PX16">
        <v>1</v>
      </c>
      <c r="PY16">
        <v>1</v>
      </c>
      <c r="PZ16">
        <v>309</v>
      </c>
      <c r="QA16">
        <v>345</v>
      </c>
      <c r="QB16">
        <v>0</v>
      </c>
      <c r="QC16">
        <v>37</v>
      </c>
      <c r="QD16">
        <v>3</v>
      </c>
      <c r="QE16" t="s">
        <v>1678</v>
      </c>
      <c r="QF16">
        <v>7</v>
      </c>
      <c r="QG16" t="s">
        <v>1671</v>
      </c>
      <c r="QH16">
        <v>7</v>
      </c>
      <c r="QI16">
        <v>115</v>
      </c>
      <c r="QJ16">
        <v>4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1.17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4</v>
      </c>
      <c r="RC16">
        <v>2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</v>
      </c>
      <c r="SW16">
        <v>1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1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3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3</v>
      </c>
      <c r="VB16">
        <v>0</v>
      </c>
      <c r="VC16">
        <v>0</v>
      </c>
      <c r="VD16">
        <v>0</v>
      </c>
      <c r="VE16">
        <v>0</v>
      </c>
      <c r="VF16">
        <v>1</v>
      </c>
      <c r="VG16">
        <v>0</v>
      </c>
      <c r="VH16">
        <v>3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2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0</v>
      </c>
      <c r="WR16">
        <v>0</v>
      </c>
      <c r="WS16">
        <v>0</v>
      </c>
      <c r="WT16">
        <v>1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2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5</v>
      </c>
      <c r="XW16">
        <v>0</v>
      </c>
      <c r="XX16">
        <v>0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4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1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2</v>
      </c>
      <c r="AFO16">
        <v>33</v>
      </c>
      <c r="AFP16">
        <v>10</v>
      </c>
      <c r="AFQ16">
        <v>12</v>
      </c>
      <c r="AFR16">
        <v>3</v>
      </c>
      <c r="AFS16">
        <v>0</v>
      </c>
      <c r="AFT16">
        <v>0</v>
      </c>
      <c r="AFU16">
        <v>8</v>
      </c>
      <c r="AFV16">
        <v>0</v>
      </c>
      <c r="AFW16">
        <v>2</v>
      </c>
      <c r="AFX16">
        <v>0</v>
      </c>
      <c r="AFY16">
        <v>310</v>
      </c>
      <c r="AFZ16">
        <v>345</v>
      </c>
      <c r="AGA16">
        <v>1</v>
      </c>
      <c r="AGB16">
        <v>25</v>
      </c>
      <c r="AGC16">
        <v>3</v>
      </c>
      <c r="AGD16" t="s">
        <v>1680</v>
      </c>
      <c r="AGE16">
        <v>7</v>
      </c>
      <c r="AGF16" t="s">
        <v>1680</v>
      </c>
      <c r="AGG16">
        <v>7</v>
      </c>
      <c r="AGH16">
        <v>13</v>
      </c>
      <c r="AGI16">
        <v>2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0.83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3</v>
      </c>
      <c r="AHB16">
        <v>3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1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1</v>
      </c>
      <c r="ALA16">
        <v>0</v>
      </c>
      <c r="ALB16">
        <v>0</v>
      </c>
      <c r="ALC16">
        <v>0</v>
      </c>
      <c r="ALD16">
        <v>0</v>
      </c>
      <c r="ALE16">
        <v>1</v>
      </c>
      <c r="ALF16">
        <v>0</v>
      </c>
      <c r="ALG16">
        <v>1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4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2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4</v>
      </c>
      <c r="ANV16">
        <v>0</v>
      </c>
      <c r="ANW16">
        <v>0</v>
      </c>
      <c r="ANX16">
        <v>2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1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1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2</v>
      </c>
      <c r="AVN16">
        <v>69</v>
      </c>
      <c r="AVO16">
        <v>9</v>
      </c>
      <c r="AVP16">
        <v>13</v>
      </c>
      <c r="AVQ16">
        <v>3</v>
      </c>
      <c r="AVR16">
        <v>0</v>
      </c>
      <c r="AVS16">
        <v>0</v>
      </c>
      <c r="AVT16">
        <v>3</v>
      </c>
      <c r="AVU16">
        <v>1</v>
      </c>
      <c r="AVV16">
        <v>2</v>
      </c>
      <c r="AVW16">
        <v>3</v>
      </c>
      <c r="AVX16">
        <v>308</v>
      </c>
      <c r="AVY16">
        <v>345</v>
      </c>
      <c r="AVZ16">
        <v>1</v>
      </c>
      <c r="AWA16">
        <v>26</v>
      </c>
      <c r="AWB16">
        <v>3</v>
      </c>
      <c r="AWC16" t="s">
        <v>1680</v>
      </c>
      <c r="AWD16">
        <v>5</v>
      </c>
      <c r="AWE16" t="s">
        <v>1680</v>
      </c>
      <c r="AWF16">
        <v>7</v>
      </c>
      <c r="AWG16">
        <v>13</v>
      </c>
      <c r="AWH16">
        <v>2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0.69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3</v>
      </c>
      <c r="AXA16">
        <v>1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2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1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1</v>
      </c>
      <c r="BAS16">
        <v>0</v>
      </c>
      <c r="BAT16">
        <v>0</v>
      </c>
      <c r="BAU16">
        <v>0</v>
      </c>
      <c r="BAV16">
        <v>0</v>
      </c>
      <c r="BAW16">
        <v>1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2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5</v>
      </c>
      <c r="BBR16">
        <v>1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1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1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1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2</v>
      </c>
      <c r="BDQ16">
        <v>0</v>
      </c>
      <c r="BDR16">
        <v>0</v>
      </c>
      <c r="BDS16">
        <v>0</v>
      </c>
      <c r="BDT16">
        <v>4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</row>
    <row r="17" spans="1:1675" x14ac:dyDescent="0.2">
      <c r="A17">
        <v>2</v>
      </c>
      <c r="B17">
        <v>6</v>
      </c>
      <c r="C17">
        <f t="shared" si="0"/>
        <v>77</v>
      </c>
      <c r="D17">
        <f t="shared" si="3"/>
        <v>932</v>
      </c>
      <c r="E17">
        <f t="shared" si="4"/>
        <v>16</v>
      </c>
      <c r="F17">
        <f t="shared" si="2"/>
        <v>3</v>
      </c>
      <c r="G17">
        <f t="shared" si="5"/>
        <v>3</v>
      </c>
      <c r="H17" cm="1">
        <f t="array" ref="H17">_xlfn.IFS(P17=0, 1, P17=7, 2, P17=5, 3)</f>
        <v>2</v>
      </c>
      <c r="I17" cm="1">
        <f t="array" ref="I17">_xlfn.IFS(H17=1, IF(AC17=0, P17, PO17), H17=2, IF(AC17=0, P17, AFN17), H17=3, IF(AC17=0, P17, AVM17))</f>
        <v>7</v>
      </c>
      <c r="J17" cm="1">
        <f t="array" ref="J17">_xlfn.IFS(I17=0, 1, I17=1, 0, I17=2, 7, I17=7, 2, I17=5, 6, I17=6, 5)</f>
        <v>2</v>
      </c>
      <c r="K17" t="str" cm="1">
        <f t="array" ref="K17">_xlfn.IFNA(_xlfn.IFS(P17&lt;&gt;P18, 1, A17&lt;&gt;A18, IF(P18=P17, 1)), "")</f>
        <v/>
      </c>
      <c r="L17" t="str">
        <f t="shared" si="1"/>
        <v/>
      </c>
      <c r="M17" t="s">
        <v>1729</v>
      </c>
      <c r="N17" t="s">
        <v>1692</v>
      </c>
      <c r="P17">
        <v>7</v>
      </c>
      <c r="Q17">
        <v>57</v>
      </c>
      <c r="R17">
        <v>18</v>
      </c>
      <c r="S17">
        <v>17</v>
      </c>
      <c r="T17">
        <v>4</v>
      </c>
      <c r="U17">
        <v>0</v>
      </c>
      <c r="V17">
        <v>0</v>
      </c>
      <c r="W17">
        <v>16</v>
      </c>
      <c r="X17">
        <v>2</v>
      </c>
      <c r="Y17">
        <v>0</v>
      </c>
      <c r="Z17">
        <v>0</v>
      </c>
      <c r="AA17">
        <v>407</v>
      </c>
      <c r="AB17">
        <v>458</v>
      </c>
      <c r="AC17">
        <v>0</v>
      </c>
      <c r="AD17">
        <v>49</v>
      </c>
      <c r="AE17">
        <v>4</v>
      </c>
      <c r="AF17" t="s">
        <v>1678</v>
      </c>
      <c r="AG17">
        <v>10</v>
      </c>
      <c r="AH17" t="s">
        <v>1671</v>
      </c>
      <c r="AI17">
        <v>10</v>
      </c>
      <c r="AJ17">
        <v>17</v>
      </c>
      <c r="AK17">
        <v>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1.06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</v>
      </c>
      <c r="BD17">
        <v>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</v>
      </c>
      <c r="CX17">
        <v>3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3</v>
      </c>
      <c r="FH17">
        <v>0</v>
      </c>
      <c r="FI17">
        <v>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3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2</v>
      </c>
      <c r="HT17">
        <v>0</v>
      </c>
      <c r="HU17">
        <v>0</v>
      </c>
      <c r="HV17">
        <v>0</v>
      </c>
      <c r="HW17">
        <v>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3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7</v>
      </c>
      <c r="PP17">
        <v>93</v>
      </c>
      <c r="PQ17">
        <v>13</v>
      </c>
      <c r="PR17">
        <v>14</v>
      </c>
      <c r="PS17">
        <v>6</v>
      </c>
      <c r="PT17">
        <v>0</v>
      </c>
      <c r="PU17">
        <v>0</v>
      </c>
      <c r="PV17">
        <v>13</v>
      </c>
      <c r="PW17">
        <v>0</v>
      </c>
      <c r="PX17">
        <v>0</v>
      </c>
      <c r="PY17">
        <v>0</v>
      </c>
      <c r="PZ17">
        <v>416</v>
      </c>
      <c r="QA17">
        <v>458</v>
      </c>
      <c r="QB17">
        <v>0</v>
      </c>
      <c r="QC17">
        <v>31</v>
      </c>
      <c r="QD17">
        <v>7</v>
      </c>
      <c r="QE17" t="s">
        <v>1671</v>
      </c>
      <c r="QF17">
        <v>7</v>
      </c>
      <c r="QG17" t="s">
        <v>1671</v>
      </c>
      <c r="QH17">
        <v>8</v>
      </c>
      <c r="QI17">
        <v>132</v>
      </c>
      <c r="QJ17">
        <v>5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0.93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6</v>
      </c>
      <c r="RC17">
        <v>2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1</v>
      </c>
      <c r="SW17">
        <v>2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6</v>
      </c>
      <c r="VB17">
        <v>0</v>
      </c>
      <c r="VC17">
        <v>0</v>
      </c>
      <c r="VD17">
        <v>0</v>
      </c>
      <c r="VE17">
        <v>0</v>
      </c>
      <c r="VF17">
        <v>1</v>
      </c>
      <c r="VG17">
        <v>0</v>
      </c>
      <c r="VH17">
        <v>2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5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1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1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1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2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1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2</v>
      </c>
      <c r="AFO17">
        <v>34</v>
      </c>
      <c r="AFP17">
        <v>18</v>
      </c>
      <c r="AFQ17">
        <v>15</v>
      </c>
      <c r="AFR17">
        <v>3</v>
      </c>
      <c r="AFS17">
        <v>0</v>
      </c>
      <c r="AFT17">
        <v>0</v>
      </c>
      <c r="AFU17">
        <v>17</v>
      </c>
      <c r="AFV17">
        <v>0</v>
      </c>
      <c r="AFW17">
        <v>1</v>
      </c>
      <c r="AFX17">
        <v>0</v>
      </c>
      <c r="AFY17">
        <v>413</v>
      </c>
      <c r="AFZ17">
        <v>458</v>
      </c>
      <c r="AGA17">
        <v>1</v>
      </c>
      <c r="AGB17">
        <v>35</v>
      </c>
      <c r="AGC17">
        <v>3</v>
      </c>
      <c r="AGD17" t="s">
        <v>1676</v>
      </c>
      <c r="AGE17">
        <v>10</v>
      </c>
      <c r="AGF17" t="s">
        <v>1676</v>
      </c>
      <c r="AGG17">
        <v>8</v>
      </c>
      <c r="AGH17">
        <v>17</v>
      </c>
      <c r="AGI17">
        <v>7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1.2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3</v>
      </c>
      <c r="AHB17">
        <v>1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1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2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4</v>
      </c>
      <c r="ALA17">
        <v>0</v>
      </c>
      <c r="ALB17">
        <v>0</v>
      </c>
      <c r="ALC17">
        <v>0</v>
      </c>
      <c r="ALD17">
        <v>0</v>
      </c>
      <c r="ALE17">
        <v>2</v>
      </c>
      <c r="ALF17">
        <v>0</v>
      </c>
      <c r="ALG17">
        <v>3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7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1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1</v>
      </c>
      <c r="ANR17">
        <v>0</v>
      </c>
      <c r="ANS17">
        <v>0</v>
      </c>
      <c r="ANT17">
        <v>0</v>
      </c>
      <c r="ANU17">
        <v>4</v>
      </c>
      <c r="ANV17">
        <v>0</v>
      </c>
      <c r="ANW17">
        <v>0</v>
      </c>
      <c r="ANX17">
        <v>2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3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2</v>
      </c>
      <c r="AVN17">
        <v>94</v>
      </c>
      <c r="AVO17">
        <v>13</v>
      </c>
      <c r="AVP17">
        <v>16</v>
      </c>
      <c r="AVQ17">
        <v>3</v>
      </c>
      <c r="AVR17">
        <v>0</v>
      </c>
      <c r="AVS17">
        <v>0</v>
      </c>
      <c r="AVT17">
        <v>8</v>
      </c>
      <c r="AVU17">
        <v>2</v>
      </c>
      <c r="AVV17">
        <v>3</v>
      </c>
      <c r="AVW17">
        <v>0</v>
      </c>
      <c r="AVX17">
        <v>410</v>
      </c>
      <c r="AVY17">
        <v>458</v>
      </c>
      <c r="AVZ17">
        <v>1</v>
      </c>
      <c r="AWA17">
        <v>28</v>
      </c>
      <c r="AWB17">
        <v>5</v>
      </c>
      <c r="AWC17" t="s">
        <v>1676</v>
      </c>
      <c r="AWD17">
        <v>7</v>
      </c>
      <c r="AWE17" t="s">
        <v>1676</v>
      </c>
      <c r="AWF17">
        <v>10</v>
      </c>
      <c r="AWG17">
        <v>75</v>
      </c>
      <c r="AWH17">
        <v>3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0.81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2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2</v>
      </c>
      <c r="AYU17">
        <v>2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1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2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2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2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5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1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3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3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2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1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</row>
    <row r="18" spans="1:1675" x14ac:dyDescent="0.2">
      <c r="A18">
        <v>2</v>
      </c>
      <c r="B18">
        <v>6</v>
      </c>
      <c r="C18">
        <f t="shared" si="0"/>
        <v>77</v>
      </c>
      <c r="D18">
        <f t="shared" si="3"/>
        <v>933</v>
      </c>
      <c r="E18">
        <f t="shared" si="4"/>
        <v>17</v>
      </c>
      <c r="F18">
        <f t="shared" si="2"/>
        <v>4</v>
      </c>
      <c r="G18">
        <f t="shared" si="5"/>
        <v>4</v>
      </c>
      <c r="H18" cm="1">
        <f t="array" ref="H18">_xlfn.IFS(P18=0, 1, P18=7, 2, P18=5, 3)</f>
        <v>2</v>
      </c>
      <c r="I18" cm="1">
        <f t="array" ref="I18">_xlfn.IFS(H18=1, IF(AC18=0, P18, PO18), H18=2, IF(AC18=0, P18, AFN18), H18=3, IF(AC18=0, P18, AVM18))</f>
        <v>7</v>
      </c>
      <c r="J18" cm="1">
        <f t="array" ref="J18">_xlfn.IFS(I18=0, 1, I18=1, 0, I18=2, 7, I18=7, 2, I18=5, 6, I18=6, 5)</f>
        <v>2</v>
      </c>
      <c r="K18" cm="1">
        <f t="array" ref="K18">_xlfn.IFNA(_xlfn.IFS(P18&lt;&gt;P19, 1, A18&lt;&gt;A19, IF(P19=P18, 1)), "")</f>
        <v>1</v>
      </c>
      <c r="L18">
        <f t="shared" si="1"/>
        <v>7</v>
      </c>
      <c r="M18" t="s">
        <v>1731</v>
      </c>
      <c r="N18" t="s">
        <v>1693</v>
      </c>
      <c r="P18">
        <v>7</v>
      </c>
      <c r="Q18">
        <v>70</v>
      </c>
      <c r="R18">
        <v>18</v>
      </c>
      <c r="S18">
        <v>17</v>
      </c>
      <c r="T18">
        <v>5</v>
      </c>
      <c r="U18">
        <v>0</v>
      </c>
      <c r="V18">
        <v>0</v>
      </c>
      <c r="W18">
        <v>15</v>
      </c>
      <c r="X18">
        <v>2</v>
      </c>
      <c r="Y18">
        <v>1</v>
      </c>
      <c r="Z18">
        <v>0</v>
      </c>
      <c r="AA18">
        <v>426</v>
      </c>
      <c r="AB18">
        <v>477</v>
      </c>
      <c r="AC18">
        <v>0</v>
      </c>
      <c r="AD18">
        <v>47</v>
      </c>
      <c r="AE18">
        <v>4</v>
      </c>
      <c r="AF18" t="s">
        <v>1678</v>
      </c>
      <c r="AG18">
        <v>10</v>
      </c>
      <c r="AH18" t="s">
        <v>1671</v>
      </c>
      <c r="AI18">
        <v>12</v>
      </c>
      <c r="AJ18">
        <v>18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1.06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</v>
      </c>
      <c r="BD18">
        <v>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</v>
      </c>
      <c r="CX18">
        <v>3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</v>
      </c>
      <c r="FC18">
        <v>0</v>
      </c>
      <c r="FD18">
        <v>0</v>
      </c>
      <c r="FE18">
        <v>0</v>
      </c>
      <c r="FF18">
        <v>0</v>
      </c>
      <c r="FG18">
        <v>3</v>
      </c>
      <c r="FH18">
        <v>0</v>
      </c>
      <c r="FI18">
        <v>4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2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1</v>
      </c>
      <c r="HI18">
        <v>0</v>
      </c>
      <c r="HJ18">
        <v>2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1</v>
      </c>
      <c r="HT18">
        <v>0</v>
      </c>
      <c r="HU18">
        <v>0</v>
      </c>
      <c r="HV18">
        <v>0</v>
      </c>
      <c r="HW18">
        <v>3</v>
      </c>
      <c r="HX18">
        <v>0</v>
      </c>
      <c r="HY18">
        <v>0</v>
      </c>
      <c r="HZ18">
        <v>5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2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1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7</v>
      </c>
      <c r="PP18">
        <v>80</v>
      </c>
      <c r="PQ18">
        <v>28</v>
      </c>
      <c r="PR18">
        <v>19</v>
      </c>
      <c r="PS18">
        <v>8</v>
      </c>
      <c r="PT18">
        <v>0</v>
      </c>
      <c r="PU18">
        <v>0</v>
      </c>
      <c r="PV18">
        <v>10</v>
      </c>
      <c r="PW18">
        <v>5</v>
      </c>
      <c r="PX18">
        <v>12</v>
      </c>
      <c r="PY18">
        <v>1</v>
      </c>
      <c r="PZ18">
        <v>420</v>
      </c>
      <c r="QA18">
        <v>477</v>
      </c>
      <c r="QB18">
        <v>0</v>
      </c>
      <c r="QC18">
        <v>66</v>
      </c>
      <c r="QD18">
        <v>7</v>
      </c>
      <c r="QE18" t="s">
        <v>1678</v>
      </c>
      <c r="QF18">
        <v>16</v>
      </c>
      <c r="QG18" t="s">
        <v>1671</v>
      </c>
      <c r="QH18">
        <v>11</v>
      </c>
      <c r="QI18">
        <v>75</v>
      </c>
      <c r="QJ18">
        <v>7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1.47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8</v>
      </c>
      <c r="RC18">
        <v>4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1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2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3</v>
      </c>
      <c r="UU18">
        <v>1</v>
      </c>
      <c r="UV18">
        <v>0</v>
      </c>
      <c r="UW18">
        <v>0</v>
      </c>
      <c r="UX18">
        <v>0</v>
      </c>
      <c r="UY18">
        <v>4</v>
      </c>
      <c r="UZ18">
        <v>0</v>
      </c>
      <c r="VA18">
        <v>1</v>
      </c>
      <c r="VB18">
        <v>0</v>
      </c>
      <c r="VC18">
        <v>0</v>
      </c>
      <c r="VD18">
        <v>0</v>
      </c>
      <c r="VE18">
        <v>0</v>
      </c>
      <c r="VF18">
        <v>4</v>
      </c>
      <c r="VG18">
        <v>0</v>
      </c>
      <c r="VH18">
        <v>6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6</v>
      </c>
      <c r="VT18">
        <v>1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1</v>
      </c>
      <c r="WA18">
        <v>0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7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1</v>
      </c>
      <c r="XH18">
        <v>0</v>
      </c>
      <c r="XI18">
        <v>2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1</v>
      </c>
      <c r="XS18">
        <v>0</v>
      </c>
      <c r="XT18">
        <v>0</v>
      </c>
      <c r="XU18">
        <v>0</v>
      </c>
      <c r="XV18">
        <v>8</v>
      </c>
      <c r="XW18">
        <v>0</v>
      </c>
      <c r="XX18">
        <v>0</v>
      </c>
      <c r="XY18">
        <v>2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1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2</v>
      </c>
      <c r="AFO18">
        <v>52</v>
      </c>
      <c r="AFP18">
        <v>23</v>
      </c>
      <c r="AFQ18">
        <v>20</v>
      </c>
      <c r="AFR18">
        <v>6</v>
      </c>
      <c r="AFS18">
        <v>0</v>
      </c>
      <c r="AFT18">
        <v>0</v>
      </c>
      <c r="AFU18">
        <v>18</v>
      </c>
      <c r="AFV18">
        <v>0</v>
      </c>
      <c r="AFW18">
        <v>5</v>
      </c>
      <c r="AFX18">
        <v>0</v>
      </c>
      <c r="AFY18">
        <v>417</v>
      </c>
      <c r="AFZ18">
        <v>477</v>
      </c>
      <c r="AGA18">
        <v>1</v>
      </c>
      <c r="AGB18">
        <v>58</v>
      </c>
      <c r="AGC18">
        <v>6</v>
      </c>
      <c r="AGD18" t="s">
        <v>1676</v>
      </c>
      <c r="AGE18">
        <v>12</v>
      </c>
      <c r="AGF18" t="s">
        <v>1680</v>
      </c>
      <c r="AGG18">
        <v>12</v>
      </c>
      <c r="AGH18">
        <v>13</v>
      </c>
      <c r="AGI18">
        <v>6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1.1499999999999999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5</v>
      </c>
      <c r="AHB18">
        <v>7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2</v>
      </c>
      <c r="AIV18">
        <v>3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4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1</v>
      </c>
      <c r="AJO18">
        <v>1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1</v>
      </c>
      <c r="AKY18">
        <v>0</v>
      </c>
      <c r="AKZ18">
        <v>1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2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9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2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1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3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1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1</v>
      </c>
      <c r="ANR18">
        <v>0</v>
      </c>
      <c r="ANS18">
        <v>0</v>
      </c>
      <c r="ANT18">
        <v>0</v>
      </c>
      <c r="ANU18">
        <v>6</v>
      </c>
      <c r="ANV18">
        <v>0</v>
      </c>
      <c r="ANW18">
        <v>0</v>
      </c>
      <c r="ANX18">
        <v>1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6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1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2</v>
      </c>
      <c r="AVN18">
        <v>85</v>
      </c>
      <c r="AVO18">
        <v>13</v>
      </c>
      <c r="AVP18">
        <v>26</v>
      </c>
      <c r="AVQ18">
        <v>2</v>
      </c>
      <c r="AVR18">
        <v>0</v>
      </c>
      <c r="AVS18">
        <v>0</v>
      </c>
      <c r="AVT18">
        <v>4</v>
      </c>
      <c r="AVU18">
        <v>1</v>
      </c>
      <c r="AVV18">
        <v>6</v>
      </c>
      <c r="AVW18">
        <v>2</v>
      </c>
      <c r="AVX18">
        <v>399</v>
      </c>
      <c r="AVY18">
        <v>477</v>
      </c>
      <c r="AVZ18">
        <v>1</v>
      </c>
      <c r="AWA18">
        <v>33</v>
      </c>
      <c r="AWB18">
        <v>2</v>
      </c>
      <c r="AWC18" t="s">
        <v>1680</v>
      </c>
      <c r="AWD18">
        <v>8</v>
      </c>
      <c r="AWE18" t="s">
        <v>1680</v>
      </c>
      <c r="AWF18">
        <v>16</v>
      </c>
      <c r="AWG18">
        <v>75</v>
      </c>
      <c r="AWH18">
        <v>4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0.5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2</v>
      </c>
      <c r="AXA18">
        <v>1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1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1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1</v>
      </c>
      <c r="AYU18">
        <v>4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1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1</v>
      </c>
      <c r="BAS18">
        <v>0</v>
      </c>
      <c r="BAT18">
        <v>0</v>
      </c>
      <c r="BAU18">
        <v>0</v>
      </c>
      <c r="BAV18">
        <v>0</v>
      </c>
      <c r="BAW18">
        <v>1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2</v>
      </c>
      <c r="BBE18">
        <v>0</v>
      </c>
      <c r="BBF18">
        <v>2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4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1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3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1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4</v>
      </c>
      <c r="BDU18">
        <v>0</v>
      </c>
      <c r="BDV18">
        <v>0</v>
      </c>
      <c r="BDW18">
        <v>1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1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1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</row>
    <row r="19" spans="1:1675" x14ac:dyDescent="0.2">
      <c r="A19">
        <v>2</v>
      </c>
      <c r="B19">
        <v>6</v>
      </c>
      <c r="C19">
        <f t="shared" si="0"/>
        <v>77</v>
      </c>
      <c r="D19">
        <f t="shared" si="3"/>
        <v>934</v>
      </c>
      <c r="E19">
        <f t="shared" si="4"/>
        <v>18</v>
      </c>
      <c r="F19">
        <f t="shared" si="2"/>
        <v>5</v>
      </c>
      <c r="G19">
        <f t="shared" si="5"/>
        <v>1</v>
      </c>
      <c r="H19" cm="1">
        <f t="array" ref="H19">_xlfn.IFS(P19=0, 1, P19=7, 2, P19=5, 3)</f>
        <v>3</v>
      </c>
      <c r="I19" cm="1">
        <f t="array" ref="I19">_xlfn.IFS(H19=1, IF(AC19=0, P19, PO19), H19=2, IF(AC19=0, P19, AFN19), H19=3, IF(AC19=0, P19, AVM19))</f>
        <v>5</v>
      </c>
      <c r="J19" cm="1">
        <f t="array" ref="J19">_xlfn.IFS(I19=0, 1, I19=1, 0, I19=2, 7, I19=7, 2, I19=5, 6, I19=6, 5)</f>
        <v>6</v>
      </c>
      <c r="K19" t="str" cm="1">
        <f t="array" ref="K19">_xlfn.IFNA(_xlfn.IFS(P19&lt;&gt;P20, 1, A19&lt;&gt;A20, IF(P20=P19, 1)), "")</f>
        <v/>
      </c>
      <c r="L19" t="str">
        <f t="shared" si="1"/>
        <v/>
      </c>
      <c r="M19" s="4" t="s">
        <v>1740</v>
      </c>
      <c r="N19" s="4" t="s">
        <v>1694</v>
      </c>
      <c r="P19" s="4">
        <v>5</v>
      </c>
      <c r="Q19" s="4">
        <v>37</v>
      </c>
      <c r="R19" s="4">
        <v>27</v>
      </c>
      <c r="S19" s="4">
        <v>14</v>
      </c>
      <c r="T19" s="4">
        <v>3</v>
      </c>
      <c r="U19" s="4">
        <v>0</v>
      </c>
      <c r="V19" s="4">
        <v>0</v>
      </c>
      <c r="W19" s="4">
        <v>21</v>
      </c>
      <c r="X19" s="4">
        <v>2</v>
      </c>
      <c r="Y19" s="4">
        <v>4</v>
      </c>
      <c r="Z19" s="4">
        <v>0</v>
      </c>
      <c r="AA19" s="4">
        <v>403</v>
      </c>
      <c r="AB19" s="4">
        <v>445</v>
      </c>
      <c r="AC19" s="4">
        <v>0</v>
      </c>
      <c r="AD19" s="4">
        <v>57</v>
      </c>
      <c r="AE19" s="4">
        <v>11</v>
      </c>
      <c r="AF19" s="4" t="s">
        <v>1680</v>
      </c>
      <c r="AG19" s="4">
        <v>15</v>
      </c>
      <c r="AH19" s="4" t="s">
        <v>1680</v>
      </c>
      <c r="AI19" s="4">
        <v>12</v>
      </c>
      <c r="AJ19" s="4">
        <v>17</v>
      </c>
      <c r="AK19" s="4">
        <v>6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1.93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3</v>
      </c>
      <c r="BD19" s="4">
        <v>3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2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5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2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1</v>
      </c>
      <c r="FC19" s="4">
        <v>0</v>
      </c>
      <c r="FD19" s="4">
        <v>0</v>
      </c>
      <c r="FE19" s="4">
        <v>0</v>
      </c>
      <c r="FF19" s="4">
        <v>0</v>
      </c>
      <c r="FG19" s="4">
        <v>2</v>
      </c>
      <c r="FH19" s="4">
        <v>0</v>
      </c>
      <c r="FI19" s="4">
        <v>5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8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1</v>
      </c>
      <c r="GA19" s="4">
        <v>2</v>
      </c>
      <c r="GB19" s="4">
        <v>0</v>
      </c>
      <c r="GC19" s="4">
        <v>1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3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2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4</v>
      </c>
      <c r="HX19" s="4">
        <v>0</v>
      </c>
      <c r="HY19" s="4">
        <v>0</v>
      </c>
      <c r="HZ19" s="4">
        <v>6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1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2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3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6</v>
      </c>
      <c r="PP19" s="4">
        <v>49</v>
      </c>
      <c r="PQ19" s="4">
        <v>20</v>
      </c>
      <c r="PR19" s="4">
        <v>24</v>
      </c>
      <c r="PS19" s="4">
        <v>5</v>
      </c>
      <c r="PT19" s="4">
        <v>0</v>
      </c>
      <c r="PU19" s="4">
        <v>0</v>
      </c>
      <c r="PV19" s="4">
        <v>13</v>
      </c>
      <c r="PW19" s="4">
        <v>2</v>
      </c>
      <c r="PX19" s="4">
        <v>4</v>
      </c>
      <c r="PY19" s="4">
        <v>1</v>
      </c>
      <c r="PZ19" s="4">
        <v>374</v>
      </c>
      <c r="QA19" s="4">
        <v>445</v>
      </c>
      <c r="QB19" s="4">
        <v>1</v>
      </c>
      <c r="QC19" s="4">
        <v>47</v>
      </c>
      <c r="QD19" s="4">
        <v>5</v>
      </c>
      <c r="QE19" s="4" t="s">
        <v>1676</v>
      </c>
      <c r="QF19" s="4">
        <v>12</v>
      </c>
      <c r="QG19" s="4" t="s">
        <v>1676</v>
      </c>
      <c r="QH19" s="4">
        <v>15</v>
      </c>
      <c r="QI19" s="4">
        <v>18</v>
      </c>
      <c r="QJ19" s="4">
        <v>6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0.83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5</v>
      </c>
      <c r="RC19" s="4">
        <v>4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1</v>
      </c>
      <c r="SW19" s="4">
        <v>3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1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2</v>
      </c>
      <c r="UU19" s="4">
        <v>0</v>
      </c>
      <c r="UV19" s="4">
        <v>0</v>
      </c>
      <c r="UW19" s="4">
        <v>0</v>
      </c>
      <c r="UX19" s="4">
        <v>0</v>
      </c>
      <c r="UY19" s="4">
        <v>2</v>
      </c>
      <c r="UZ19" s="4">
        <v>0</v>
      </c>
      <c r="VA19" s="4">
        <v>1</v>
      </c>
      <c r="VB19" s="4">
        <v>0</v>
      </c>
      <c r="VC19" s="4">
        <v>0</v>
      </c>
      <c r="VD19" s="4">
        <v>0</v>
      </c>
      <c r="VE19" s="4">
        <v>0</v>
      </c>
      <c r="VF19" s="4">
        <v>3</v>
      </c>
      <c r="VG19" s="4">
        <v>0</v>
      </c>
      <c r="VH19" s="4">
        <v>2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5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1</v>
      </c>
      <c r="WA19" s="4">
        <v>0</v>
      </c>
      <c r="WB19" s="4">
        <v>2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2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5</v>
      </c>
      <c r="XW19" s="4">
        <v>0</v>
      </c>
      <c r="XX19" s="4">
        <v>0</v>
      </c>
      <c r="XY19" s="4">
        <v>6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2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5</v>
      </c>
      <c r="AFO19" s="4">
        <v>113</v>
      </c>
      <c r="AFP19" s="4">
        <v>18</v>
      </c>
      <c r="AFQ19" s="4">
        <v>15</v>
      </c>
      <c r="AFR19" s="4">
        <v>9</v>
      </c>
      <c r="AFS19" s="4">
        <v>0</v>
      </c>
      <c r="AFT19" s="4">
        <v>0</v>
      </c>
      <c r="AFU19" s="4">
        <v>15</v>
      </c>
      <c r="AFV19" s="4">
        <v>1</v>
      </c>
      <c r="AFW19" s="4">
        <v>0</v>
      </c>
      <c r="AFX19" s="4">
        <v>2</v>
      </c>
      <c r="AFY19" s="4">
        <v>402</v>
      </c>
      <c r="AFZ19" s="4">
        <v>445</v>
      </c>
      <c r="AGA19" s="4">
        <v>0</v>
      </c>
      <c r="AGB19" s="4">
        <v>48</v>
      </c>
      <c r="AGC19" s="4">
        <v>3</v>
      </c>
      <c r="AGD19" s="4" t="s">
        <v>1678</v>
      </c>
      <c r="AGE19" s="4">
        <v>9</v>
      </c>
      <c r="AGF19" s="4" t="s">
        <v>1680</v>
      </c>
      <c r="AGG19" s="4">
        <v>8</v>
      </c>
      <c r="AGH19" s="4">
        <v>18</v>
      </c>
      <c r="AGI19" s="4">
        <v>5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1.2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9</v>
      </c>
      <c r="AHB19" s="4">
        <v>4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1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1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3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1</v>
      </c>
      <c r="AJO19" s="4">
        <v>1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1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1</v>
      </c>
      <c r="ALA19" s="4">
        <v>0</v>
      </c>
      <c r="ALB19" s="4">
        <v>0</v>
      </c>
      <c r="ALC19" s="4">
        <v>0</v>
      </c>
      <c r="ALD19" s="4">
        <v>0</v>
      </c>
      <c r="ALE19" s="4">
        <v>2</v>
      </c>
      <c r="ALF19" s="4">
        <v>0</v>
      </c>
      <c r="ALG19" s="4">
        <v>4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10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5</v>
      </c>
      <c r="ANV19" s="4">
        <v>0</v>
      </c>
      <c r="ANW19" s="4">
        <v>0</v>
      </c>
      <c r="ANX19" s="4">
        <v>5</v>
      </c>
      <c r="ANY19" s="4">
        <v>0</v>
      </c>
      <c r="ANZ19" s="4">
        <v>0</v>
      </c>
      <c r="AOA19" s="4">
        <v>0</v>
      </c>
      <c r="AOB19" s="4">
        <v>0</v>
      </c>
      <c r="AOC19" s="4">
        <v>0</v>
      </c>
      <c r="AOD19" s="4">
        <v>0</v>
      </c>
      <c r="AOE19" s="4">
        <v>0</v>
      </c>
      <c r="AOF19" s="4">
        <v>0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0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0</v>
      </c>
      <c r="ARW19" s="4">
        <v>0</v>
      </c>
      <c r="ARX19" s="4">
        <v>0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4">
        <v>0</v>
      </c>
      <c r="ASG19" s="4">
        <v>0</v>
      </c>
      <c r="ASH19" s="4">
        <v>0</v>
      </c>
      <c r="ASI19" s="4">
        <v>0</v>
      </c>
      <c r="ASJ19" s="4">
        <v>0</v>
      </c>
      <c r="ASK19" s="4">
        <v>0</v>
      </c>
      <c r="ASL19" s="4">
        <v>0</v>
      </c>
      <c r="ASM19" s="4">
        <v>0</v>
      </c>
      <c r="ASN19" s="4">
        <v>0</v>
      </c>
      <c r="ASO19" s="4">
        <v>0</v>
      </c>
      <c r="ASP19" s="4">
        <v>0</v>
      </c>
      <c r="ASQ19" s="4">
        <v>0</v>
      </c>
      <c r="ASR19" s="4">
        <v>0</v>
      </c>
      <c r="ASS19" s="4">
        <v>0</v>
      </c>
      <c r="AST19" s="4">
        <v>0</v>
      </c>
      <c r="ASU19" s="4">
        <v>0</v>
      </c>
      <c r="ASV19" s="4">
        <v>0</v>
      </c>
      <c r="ASW19" s="4">
        <v>0</v>
      </c>
      <c r="ASX19" s="4">
        <v>0</v>
      </c>
      <c r="ASY19" s="4">
        <v>0</v>
      </c>
      <c r="ASZ19" s="4">
        <v>0</v>
      </c>
      <c r="ATA19" s="4">
        <v>0</v>
      </c>
      <c r="ATB19" s="4">
        <v>0</v>
      </c>
      <c r="ATC19" s="4">
        <v>0</v>
      </c>
      <c r="ATD19" s="4">
        <v>0</v>
      </c>
      <c r="ATE19" s="4">
        <v>0</v>
      </c>
      <c r="ATF19" s="4">
        <v>0</v>
      </c>
      <c r="ATG19" s="4">
        <v>0</v>
      </c>
      <c r="ATH19" s="4">
        <v>0</v>
      </c>
      <c r="ATI19" s="4">
        <v>0</v>
      </c>
      <c r="ATJ19" s="4">
        <v>0</v>
      </c>
      <c r="ATK19" s="4">
        <v>0</v>
      </c>
      <c r="ATL19" s="4">
        <v>0</v>
      </c>
      <c r="ATM19" s="4">
        <v>0</v>
      </c>
      <c r="ATN19" s="4">
        <v>0</v>
      </c>
      <c r="ATO19" s="4">
        <v>0</v>
      </c>
      <c r="ATP19" s="4">
        <v>0</v>
      </c>
      <c r="ATQ19" s="4">
        <v>0</v>
      </c>
      <c r="ATR19" s="4">
        <v>0</v>
      </c>
      <c r="ATS19" s="4">
        <v>0</v>
      </c>
      <c r="ATT19" s="4">
        <v>0</v>
      </c>
      <c r="ATU19" s="4">
        <v>0</v>
      </c>
      <c r="ATV19" s="4">
        <v>0</v>
      </c>
      <c r="ATW19" s="4">
        <v>0</v>
      </c>
      <c r="ATX19" s="4">
        <v>0</v>
      </c>
      <c r="ATY19" s="4">
        <v>0</v>
      </c>
      <c r="ATZ19" s="4">
        <v>0</v>
      </c>
      <c r="AUA19" s="4">
        <v>0</v>
      </c>
      <c r="AUB19" s="4">
        <v>0</v>
      </c>
      <c r="AUC19" s="4">
        <v>0</v>
      </c>
      <c r="AUD19" s="4">
        <v>0</v>
      </c>
      <c r="AUE19" s="4">
        <v>0</v>
      </c>
      <c r="AUF19" s="4">
        <v>0</v>
      </c>
      <c r="AUG19" s="4">
        <v>0</v>
      </c>
      <c r="AUH19" s="4">
        <v>0</v>
      </c>
      <c r="AUI19" s="4">
        <v>0</v>
      </c>
      <c r="AUJ19" s="4">
        <v>0</v>
      </c>
      <c r="AUK19" s="4">
        <v>0</v>
      </c>
      <c r="AUL19" s="4">
        <v>0</v>
      </c>
      <c r="AUM19" s="4">
        <v>0</v>
      </c>
      <c r="AUN19" s="4">
        <v>0</v>
      </c>
      <c r="AUO19" s="4">
        <v>0</v>
      </c>
      <c r="AUP19" s="4">
        <v>0</v>
      </c>
      <c r="AUQ19" s="4">
        <v>0</v>
      </c>
      <c r="AUR19" s="4">
        <v>0</v>
      </c>
      <c r="AUS19" s="4">
        <v>0</v>
      </c>
      <c r="AUT19" s="4">
        <v>0</v>
      </c>
      <c r="AUU19" s="4">
        <v>0</v>
      </c>
      <c r="AUV19" s="4">
        <v>0</v>
      </c>
      <c r="AUW19" s="4">
        <v>0</v>
      </c>
      <c r="AUX19" s="4">
        <v>0</v>
      </c>
      <c r="AUY19" s="4">
        <v>0</v>
      </c>
      <c r="AUZ19" s="4">
        <v>0</v>
      </c>
      <c r="AVA19" s="4">
        <v>0</v>
      </c>
      <c r="AVB19" s="4">
        <v>0</v>
      </c>
      <c r="AVC19" s="4">
        <v>0</v>
      </c>
      <c r="AVD19" s="4">
        <v>0</v>
      </c>
      <c r="AVE19" s="4">
        <v>0</v>
      </c>
      <c r="AVF19" s="4">
        <v>0</v>
      </c>
      <c r="AVG19" s="4">
        <v>0</v>
      </c>
      <c r="AVH19" s="4">
        <v>0</v>
      </c>
      <c r="AVI19" s="4">
        <v>0</v>
      </c>
      <c r="AVJ19" s="4">
        <v>0</v>
      </c>
      <c r="AVK19" s="4">
        <v>0</v>
      </c>
      <c r="AVL19" s="4">
        <v>0</v>
      </c>
      <c r="AVM19" s="4">
        <v>6</v>
      </c>
      <c r="AVN19" s="4">
        <v>85</v>
      </c>
      <c r="AVO19" s="4">
        <v>9</v>
      </c>
      <c r="AVP19" s="4">
        <v>21</v>
      </c>
      <c r="AVQ19" s="4">
        <v>4</v>
      </c>
      <c r="AVR19" s="4">
        <v>0</v>
      </c>
      <c r="AVS19" s="4">
        <v>0</v>
      </c>
      <c r="AVT19" s="4">
        <v>7</v>
      </c>
      <c r="AVU19" s="4">
        <v>0</v>
      </c>
      <c r="AVV19" s="4">
        <v>1</v>
      </c>
      <c r="AVW19" s="4">
        <v>1</v>
      </c>
      <c r="AVX19" s="4">
        <v>384</v>
      </c>
      <c r="AVY19" s="4">
        <v>445</v>
      </c>
      <c r="AVZ19" s="4">
        <v>1</v>
      </c>
      <c r="AWA19" s="4">
        <v>31</v>
      </c>
      <c r="AWB19" s="4">
        <v>1</v>
      </c>
      <c r="AWC19" s="4" t="s">
        <v>1671</v>
      </c>
      <c r="AWD19" s="4">
        <v>7</v>
      </c>
      <c r="AWE19" s="4" t="s">
        <v>1676</v>
      </c>
      <c r="AWF19" s="4">
        <v>12</v>
      </c>
      <c r="AWG19" s="4">
        <v>13</v>
      </c>
      <c r="AWH19" s="4">
        <v>6</v>
      </c>
      <c r="AWI19" s="4">
        <v>0</v>
      </c>
      <c r="AWJ19" s="4">
        <v>0</v>
      </c>
      <c r="AWK19" s="4">
        <v>0</v>
      </c>
      <c r="AWL19" s="4">
        <v>0</v>
      </c>
      <c r="AWM19" s="4">
        <v>0</v>
      </c>
      <c r="AWN19" s="4">
        <v>0</v>
      </c>
      <c r="AWO19" s="4">
        <v>0</v>
      </c>
      <c r="AWP19" s="4">
        <v>0</v>
      </c>
      <c r="AWQ19" s="4">
        <v>0.43</v>
      </c>
      <c r="AWR19" s="4">
        <v>0</v>
      </c>
      <c r="AWS19" s="4">
        <v>0</v>
      </c>
      <c r="AWT19" s="4">
        <v>0</v>
      </c>
      <c r="AWU19" s="4">
        <v>0</v>
      </c>
      <c r="AWV19" s="4">
        <v>0</v>
      </c>
      <c r="AWW19" s="4">
        <v>0</v>
      </c>
      <c r="AWX19" s="4">
        <v>0</v>
      </c>
      <c r="AWY19" s="4">
        <v>0</v>
      </c>
      <c r="AWZ19" s="4">
        <v>4</v>
      </c>
      <c r="AXA19" s="4">
        <v>2</v>
      </c>
      <c r="AXB19" s="4">
        <v>0</v>
      </c>
      <c r="AXC19" s="4">
        <v>0</v>
      </c>
      <c r="AXD19" s="4">
        <v>0</v>
      </c>
      <c r="AXE19" s="4">
        <v>0</v>
      </c>
      <c r="AXF19" s="4">
        <v>0</v>
      </c>
      <c r="AXG19" s="4">
        <v>0</v>
      </c>
      <c r="AXH19" s="4">
        <v>0</v>
      </c>
      <c r="AXI19" s="4">
        <v>0</v>
      </c>
      <c r="AXJ19" s="4">
        <v>0</v>
      </c>
      <c r="AXK19" s="4">
        <v>0</v>
      </c>
      <c r="AXL19" s="4">
        <v>0</v>
      </c>
      <c r="AXM19" s="4">
        <v>0</v>
      </c>
      <c r="AXN19" s="4">
        <v>0</v>
      </c>
      <c r="AXO19" s="4">
        <v>0</v>
      </c>
      <c r="AXP19" s="4">
        <v>0</v>
      </c>
      <c r="AXQ19" s="4">
        <v>0</v>
      </c>
      <c r="AXR19" s="4">
        <v>0</v>
      </c>
      <c r="AXS19" s="4">
        <v>0</v>
      </c>
      <c r="AXT19" s="4">
        <v>0</v>
      </c>
      <c r="AXU19" s="4">
        <v>0</v>
      </c>
      <c r="AXV19" s="4">
        <v>0</v>
      </c>
      <c r="AXW19" s="4">
        <v>0</v>
      </c>
      <c r="AXX19" s="4">
        <v>0</v>
      </c>
      <c r="AXY19" s="4">
        <v>0</v>
      </c>
      <c r="AXZ19" s="4">
        <v>0</v>
      </c>
      <c r="AYA19" s="4">
        <v>0</v>
      </c>
      <c r="AYB19" s="4">
        <v>0</v>
      </c>
      <c r="AYC19" s="4">
        <v>0</v>
      </c>
      <c r="AYD19" s="4">
        <v>0</v>
      </c>
      <c r="AYE19" s="4">
        <v>0</v>
      </c>
      <c r="AYF19" s="4">
        <v>0</v>
      </c>
      <c r="AYG19" s="4">
        <v>0</v>
      </c>
      <c r="AYH19" s="4">
        <v>0</v>
      </c>
      <c r="AYI19" s="4">
        <v>0</v>
      </c>
      <c r="AYJ19" s="4">
        <v>0</v>
      </c>
      <c r="AYK19" s="4">
        <v>0</v>
      </c>
      <c r="AYL19" s="4">
        <v>0</v>
      </c>
      <c r="AYM19" s="4">
        <v>0</v>
      </c>
      <c r="AYN19" s="4">
        <v>0</v>
      </c>
      <c r="AYO19" s="4">
        <v>0</v>
      </c>
      <c r="AYP19" s="4">
        <v>0</v>
      </c>
      <c r="AYQ19" s="4">
        <v>0</v>
      </c>
      <c r="AYR19" s="4">
        <v>0</v>
      </c>
      <c r="AYS19" s="4">
        <v>0</v>
      </c>
      <c r="AYT19" s="4">
        <v>1</v>
      </c>
      <c r="AYU19" s="4">
        <v>4</v>
      </c>
      <c r="AYV19" s="4">
        <v>0</v>
      </c>
      <c r="AYW19" s="4">
        <v>0</v>
      </c>
      <c r="AYX19" s="4">
        <v>0</v>
      </c>
      <c r="AYY19" s="4">
        <v>0</v>
      </c>
      <c r="AYZ19" s="4">
        <v>0</v>
      </c>
      <c r="AZA19" s="4">
        <v>0</v>
      </c>
      <c r="AZB19" s="4">
        <v>0</v>
      </c>
      <c r="AZC19" s="4">
        <v>0</v>
      </c>
      <c r="AZD19" s="4">
        <v>0</v>
      </c>
      <c r="AZE19" s="4">
        <v>0</v>
      </c>
      <c r="AZF19" s="4">
        <v>0</v>
      </c>
      <c r="AZG19" s="4">
        <v>0</v>
      </c>
      <c r="AZH19" s="4">
        <v>0</v>
      </c>
      <c r="AZI19" s="4">
        <v>0</v>
      </c>
      <c r="AZJ19" s="4">
        <v>0</v>
      </c>
      <c r="AZK19" s="4">
        <v>0</v>
      </c>
      <c r="AZL19" s="4">
        <v>0</v>
      </c>
      <c r="AZM19" s="4">
        <v>0</v>
      </c>
      <c r="AZN19" s="4">
        <v>0</v>
      </c>
      <c r="AZO19" s="4">
        <v>0</v>
      </c>
      <c r="AZP19" s="4">
        <v>0</v>
      </c>
      <c r="AZQ19" s="4">
        <v>0</v>
      </c>
      <c r="AZR19" s="4">
        <v>0</v>
      </c>
      <c r="AZS19" s="4">
        <v>0</v>
      </c>
      <c r="AZT19" s="4">
        <v>0</v>
      </c>
      <c r="AZU19" s="4">
        <v>0</v>
      </c>
      <c r="AZV19" s="4">
        <v>0</v>
      </c>
      <c r="AZW19" s="4">
        <v>0</v>
      </c>
      <c r="AZX19" s="4">
        <v>0</v>
      </c>
      <c r="AZY19" s="4">
        <v>0</v>
      </c>
      <c r="AZZ19" s="4">
        <v>0</v>
      </c>
      <c r="BAA19" s="4">
        <v>0</v>
      </c>
      <c r="BAB19" s="4">
        <v>0</v>
      </c>
      <c r="BAC19" s="4">
        <v>0</v>
      </c>
      <c r="BAD19" s="4">
        <v>0</v>
      </c>
      <c r="BAE19" s="4">
        <v>0</v>
      </c>
      <c r="BAF19" s="4">
        <v>0</v>
      </c>
      <c r="BAG19" s="4">
        <v>0</v>
      </c>
      <c r="BAH19" s="4">
        <v>0</v>
      </c>
      <c r="BAI19" s="4">
        <v>0</v>
      </c>
      <c r="BAJ19" s="4">
        <v>0</v>
      </c>
      <c r="BAK19" s="4">
        <v>0</v>
      </c>
      <c r="BAL19" s="4">
        <v>0</v>
      </c>
      <c r="BAM19" s="4">
        <v>0</v>
      </c>
      <c r="BAN19" s="4">
        <v>0</v>
      </c>
      <c r="BAO19" s="4">
        <v>0</v>
      </c>
      <c r="BAP19" s="4">
        <v>0</v>
      </c>
      <c r="BAQ19" s="4">
        <v>0</v>
      </c>
      <c r="BAR19" s="4">
        <v>0</v>
      </c>
      <c r="BAS19" s="4">
        <v>0</v>
      </c>
      <c r="BAT19" s="4">
        <v>0</v>
      </c>
      <c r="BAU19" s="4">
        <v>0</v>
      </c>
      <c r="BAV19" s="4">
        <v>0</v>
      </c>
      <c r="BAW19" s="4">
        <v>0</v>
      </c>
      <c r="BAX19" s="4">
        <v>0</v>
      </c>
      <c r="BAY19" s="4">
        <v>0</v>
      </c>
      <c r="BAZ19" s="4">
        <v>0</v>
      </c>
      <c r="BBA19" s="4">
        <v>0</v>
      </c>
      <c r="BBB19" s="4">
        <v>0</v>
      </c>
      <c r="BBC19" s="4">
        <v>0</v>
      </c>
      <c r="BBD19" s="4">
        <v>3</v>
      </c>
      <c r="BBE19" s="4">
        <v>0</v>
      </c>
      <c r="BBF19" s="4">
        <v>3</v>
      </c>
      <c r="BBG19" s="4">
        <v>0</v>
      </c>
      <c r="BBH19" s="4">
        <v>0</v>
      </c>
      <c r="BBI19" s="4">
        <v>0</v>
      </c>
      <c r="BBJ19" s="4">
        <v>0</v>
      </c>
      <c r="BBK19" s="4">
        <v>0</v>
      </c>
      <c r="BBL19" s="4">
        <v>0</v>
      </c>
      <c r="BBM19" s="4">
        <v>0</v>
      </c>
      <c r="BBN19" s="4">
        <v>0</v>
      </c>
      <c r="BBO19" s="4">
        <v>0</v>
      </c>
      <c r="BBP19" s="4">
        <v>0</v>
      </c>
      <c r="BBQ19" s="4">
        <v>7</v>
      </c>
      <c r="BBR19" s="4">
        <v>0</v>
      </c>
      <c r="BBS19" s="4">
        <v>0</v>
      </c>
      <c r="BBT19" s="4">
        <v>0</v>
      </c>
      <c r="BBU19" s="4">
        <v>0</v>
      </c>
      <c r="BBV19" s="4">
        <v>0</v>
      </c>
      <c r="BBW19" s="4">
        <v>0</v>
      </c>
      <c r="BBX19" s="4">
        <v>0</v>
      </c>
      <c r="BBY19" s="4">
        <v>0</v>
      </c>
      <c r="BBZ19" s="4">
        <v>0</v>
      </c>
      <c r="BCA19" s="4">
        <v>0</v>
      </c>
      <c r="BCB19" s="4">
        <v>0</v>
      </c>
      <c r="BCC19" s="4">
        <v>0</v>
      </c>
      <c r="BCD19" s="4">
        <v>0</v>
      </c>
      <c r="BCE19" s="4">
        <v>0</v>
      </c>
      <c r="BCF19" s="4">
        <v>0</v>
      </c>
      <c r="BCG19" s="4">
        <v>0</v>
      </c>
      <c r="BCH19" s="4">
        <v>0</v>
      </c>
      <c r="BCI19" s="4">
        <v>0</v>
      </c>
      <c r="BCJ19" s="4">
        <v>0</v>
      </c>
      <c r="BCK19" s="4">
        <v>0</v>
      </c>
      <c r="BCL19" s="4">
        <v>0</v>
      </c>
      <c r="BCM19" s="4">
        <v>1</v>
      </c>
      <c r="BCN19" s="4">
        <v>0</v>
      </c>
      <c r="BCO19" s="4">
        <v>0</v>
      </c>
      <c r="BCP19" s="4">
        <v>0</v>
      </c>
      <c r="BCQ19" s="4">
        <v>0</v>
      </c>
      <c r="BCR19" s="4">
        <v>1</v>
      </c>
      <c r="BCS19" s="4">
        <v>0</v>
      </c>
      <c r="BCT19" s="4">
        <v>0</v>
      </c>
      <c r="BCU19" s="4">
        <v>0</v>
      </c>
      <c r="BCV19" s="4">
        <v>0</v>
      </c>
      <c r="BCW19" s="4">
        <v>0</v>
      </c>
      <c r="BCX19" s="4">
        <v>0</v>
      </c>
      <c r="BCY19" s="4">
        <v>0</v>
      </c>
      <c r="BCZ19" s="4">
        <v>0</v>
      </c>
      <c r="BDA19" s="4">
        <v>0</v>
      </c>
      <c r="BDB19" s="4">
        <v>0</v>
      </c>
      <c r="BDC19" s="4">
        <v>0</v>
      </c>
      <c r="BDD19" s="4">
        <v>0</v>
      </c>
      <c r="BDE19" s="4">
        <v>0</v>
      </c>
      <c r="BDF19" s="4">
        <v>0</v>
      </c>
      <c r="BDG19" s="4">
        <v>0</v>
      </c>
      <c r="BDH19" s="4">
        <v>0</v>
      </c>
      <c r="BDI19" s="4">
        <v>0</v>
      </c>
      <c r="BDJ19" s="4">
        <v>0</v>
      </c>
      <c r="BDK19" s="4">
        <v>0</v>
      </c>
      <c r="BDL19" s="4">
        <v>0</v>
      </c>
      <c r="BDM19" s="4">
        <v>0</v>
      </c>
      <c r="BDN19" s="4">
        <v>0</v>
      </c>
      <c r="BDO19" s="4">
        <v>0</v>
      </c>
      <c r="BDP19" s="4">
        <v>1</v>
      </c>
      <c r="BDQ19" s="4">
        <v>0</v>
      </c>
      <c r="BDR19" s="4">
        <v>0</v>
      </c>
      <c r="BDS19" s="4">
        <v>0</v>
      </c>
      <c r="BDT19" s="4">
        <v>3</v>
      </c>
      <c r="BDU19" s="4">
        <v>0</v>
      </c>
      <c r="BDV19" s="4">
        <v>0</v>
      </c>
      <c r="BDW19" s="4">
        <v>0</v>
      </c>
      <c r="BDX19" s="4">
        <v>0</v>
      </c>
      <c r="BDY19" s="4">
        <v>0</v>
      </c>
      <c r="BDZ19" s="4">
        <v>0</v>
      </c>
      <c r="BEA19" s="4">
        <v>0</v>
      </c>
      <c r="BEB19" s="4">
        <v>0</v>
      </c>
      <c r="BEC19" s="4">
        <v>0</v>
      </c>
      <c r="BED19" s="4">
        <v>0</v>
      </c>
      <c r="BEE19" s="4">
        <v>0</v>
      </c>
      <c r="BEF19" s="4">
        <v>1</v>
      </c>
      <c r="BEG19" s="4">
        <v>0</v>
      </c>
      <c r="BEH19" s="4">
        <v>0</v>
      </c>
      <c r="BEI19" s="4">
        <v>0</v>
      </c>
      <c r="BEJ19" s="4">
        <v>0</v>
      </c>
      <c r="BEK19" s="4">
        <v>0</v>
      </c>
      <c r="BEL19" s="4">
        <v>0</v>
      </c>
      <c r="BEM19" s="4">
        <v>0</v>
      </c>
      <c r="BEN19" s="4">
        <v>0</v>
      </c>
      <c r="BEO19" s="4">
        <v>0</v>
      </c>
      <c r="BEP19" s="4">
        <v>0</v>
      </c>
      <c r="BEQ19" s="4">
        <v>0</v>
      </c>
      <c r="BER19" s="4">
        <v>0</v>
      </c>
      <c r="BES19" s="4">
        <v>0</v>
      </c>
      <c r="BET19" s="4">
        <v>0</v>
      </c>
      <c r="BEU19" s="4">
        <v>0</v>
      </c>
      <c r="BEV19" s="4">
        <v>0</v>
      </c>
      <c r="BEW19" s="4">
        <v>0</v>
      </c>
      <c r="BEX19" s="4">
        <v>0</v>
      </c>
      <c r="BEY19" s="4">
        <v>0</v>
      </c>
      <c r="BEZ19" s="4">
        <v>0</v>
      </c>
      <c r="BFA19" s="4">
        <v>0</v>
      </c>
      <c r="BFB19" s="4">
        <v>0</v>
      </c>
      <c r="BFC19" s="4">
        <v>0</v>
      </c>
      <c r="BFD19" s="4">
        <v>0</v>
      </c>
      <c r="BFE19" s="4">
        <v>0</v>
      </c>
      <c r="BFF19" s="4">
        <v>0</v>
      </c>
      <c r="BFG19" s="4">
        <v>0</v>
      </c>
      <c r="BFH19" s="4">
        <v>0</v>
      </c>
      <c r="BFI19" s="4">
        <v>0</v>
      </c>
      <c r="BFJ19" s="4">
        <v>0</v>
      </c>
      <c r="BFK19" s="4">
        <v>0</v>
      </c>
      <c r="BFL19" s="4">
        <v>0</v>
      </c>
      <c r="BFM19" s="4">
        <v>0</v>
      </c>
      <c r="BFN19" s="4">
        <v>0</v>
      </c>
      <c r="BFO19" s="4">
        <v>0</v>
      </c>
      <c r="BFP19" s="4">
        <v>0</v>
      </c>
      <c r="BFQ19" s="4">
        <v>0</v>
      </c>
      <c r="BFR19" s="4">
        <v>0</v>
      </c>
      <c r="BFS19" s="4">
        <v>0</v>
      </c>
      <c r="BFT19" s="4">
        <v>0</v>
      </c>
      <c r="BFU19" s="4">
        <v>0</v>
      </c>
      <c r="BFV19" s="4">
        <v>0</v>
      </c>
      <c r="BFW19" s="4">
        <v>0</v>
      </c>
      <c r="BFX19" s="4">
        <v>0</v>
      </c>
      <c r="BFY19" s="4">
        <v>0</v>
      </c>
      <c r="BFZ19" s="4">
        <v>0</v>
      </c>
      <c r="BGA19" s="4">
        <v>0</v>
      </c>
      <c r="BGB19" s="4">
        <v>0</v>
      </c>
      <c r="BGC19" s="4">
        <v>0</v>
      </c>
      <c r="BGD19" s="4">
        <v>0</v>
      </c>
      <c r="BGE19" s="4">
        <v>0</v>
      </c>
      <c r="BGF19" s="4">
        <v>0</v>
      </c>
      <c r="BGG19" s="4">
        <v>0</v>
      </c>
      <c r="BGH19" s="4">
        <v>0</v>
      </c>
      <c r="BGI19" s="4">
        <v>0</v>
      </c>
      <c r="BGJ19" s="4">
        <v>0</v>
      </c>
      <c r="BGK19" s="4">
        <v>0</v>
      </c>
      <c r="BGL19" s="4">
        <v>0</v>
      </c>
      <c r="BGM19" s="4">
        <v>0</v>
      </c>
      <c r="BGN19" s="4">
        <v>0</v>
      </c>
      <c r="BGO19" s="4">
        <v>0</v>
      </c>
      <c r="BGP19" s="4">
        <v>0</v>
      </c>
      <c r="BGQ19" s="4">
        <v>0</v>
      </c>
      <c r="BGR19" s="4">
        <v>0</v>
      </c>
      <c r="BGS19" s="4">
        <v>0</v>
      </c>
      <c r="BGT19" s="4">
        <v>0</v>
      </c>
      <c r="BGU19" s="4">
        <v>0</v>
      </c>
      <c r="BGV19" s="4">
        <v>0</v>
      </c>
      <c r="BGW19" s="4">
        <v>0</v>
      </c>
      <c r="BGX19" s="4">
        <v>0</v>
      </c>
      <c r="BGY19" s="4">
        <v>0</v>
      </c>
      <c r="BGZ19" s="4">
        <v>0</v>
      </c>
      <c r="BHA19" s="4">
        <v>0</v>
      </c>
      <c r="BHB19" s="4">
        <v>0</v>
      </c>
      <c r="BHC19" s="4">
        <v>0</v>
      </c>
      <c r="BHD19" s="4">
        <v>0</v>
      </c>
      <c r="BHE19" s="4">
        <v>0</v>
      </c>
      <c r="BHF19" s="4">
        <v>0</v>
      </c>
      <c r="BHG19" s="4">
        <v>0</v>
      </c>
      <c r="BHH19" s="4">
        <v>0</v>
      </c>
      <c r="BHI19" s="4">
        <v>0</v>
      </c>
      <c r="BHJ19" s="4">
        <v>0</v>
      </c>
      <c r="BHK19" s="4">
        <v>0</v>
      </c>
      <c r="BHL19" s="4">
        <v>0</v>
      </c>
      <c r="BHM19" s="4">
        <v>0</v>
      </c>
      <c r="BHN19" s="4">
        <v>0</v>
      </c>
      <c r="BHO19" s="4">
        <v>0</v>
      </c>
      <c r="BHP19" s="4">
        <v>0</v>
      </c>
      <c r="BHQ19" s="4">
        <v>0</v>
      </c>
      <c r="BHR19" s="4">
        <v>0</v>
      </c>
      <c r="BHS19" s="4">
        <v>0</v>
      </c>
      <c r="BHT19" s="4">
        <v>0</v>
      </c>
      <c r="BHU19" s="4">
        <v>0</v>
      </c>
      <c r="BHV19" s="4">
        <v>0</v>
      </c>
      <c r="BHW19" s="4">
        <v>0</v>
      </c>
      <c r="BHX19" s="4">
        <v>0</v>
      </c>
      <c r="BHY19" s="4">
        <v>0</v>
      </c>
      <c r="BHZ19" s="4">
        <v>0</v>
      </c>
      <c r="BIA19" s="4">
        <v>0</v>
      </c>
      <c r="BIB19" s="4">
        <v>0</v>
      </c>
      <c r="BIC19" s="4">
        <v>0</v>
      </c>
      <c r="BID19" s="4">
        <v>0</v>
      </c>
      <c r="BIE19" s="4">
        <v>0</v>
      </c>
      <c r="BIF19" s="4">
        <v>0</v>
      </c>
      <c r="BIG19" s="4">
        <v>0</v>
      </c>
      <c r="BIH19" s="4">
        <v>0</v>
      </c>
      <c r="BII19" s="4">
        <v>0</v>
      </c>
      <c r="BIJ19" s="4">
        <v>0</v>
      </c>
      <c r="BIK19" s="4">
        <v>0</v>
      </c>
      <c r="BIL19" s="4">
        <v>0</v>
      </c>
      <c r="BIM19" s="4">
        <v>0</v>
      </c>
      <c r="BIN19" s="4">
        <v>0</v>
      </c>
      <c r="BIO19" s="4">
        <v>0</v>
      </c>
      <c r="BIP19" s="4">
        <v>0</v>
      </c>
      <c r="BIQ19" s="4">
        <v>0</v>
      </c>
      <c r="BIR19" s="4">
        <v>0</v>
      </c>
      <c r="BIS19" s="4">
        <v>0</v>
      </c>
      <c r="BIT19" s="4">
        <v>0</v>
      </c>
      <c r="BIU19" s="4">
        <v>0</v>
      </c>
      <c r="BIV19" s="4">
        <v>0</v>
      </c>
      <c r="BIW19" s="4">
        <v>0</v>
      </c>
      <c r="BIX19" s="4">
        <v>0</v>
      </c>
      <c r="BIY19" s="4">
        <v>0</v>
      </c>
      <c r="BIZ19" s="4">
        <v>0</v>
      </c>
      <c r="BJA19" s="4">
        <v>0</v>
      </c>
      <c r="BJB19" s="4">
        <v>0</v>
      </c>
      <c r="BJC19" s="4">
        <v>0</v>
      </c>
      <c r="BJD19" s="4">
        <v>0</v>
      </c>
      <c r="BJE19" s="4">
        <v>0</v>
      </c>
      <c r="BJF19" s="4">
        <v>0</v>
      </c>
      <c r="BJG19" s="4">
        <v>0</v>
      </c>
      <c r="BJH19" s="4">
        <v>0</v>
      </c>
      <c r="BJI19" s="4">
        <v>0</v>
      </c>
      <c r="BJJ19" s="4">
        <v>0</v>
      </c>
      <c r="BJK19" s="4">
        <v>0</v>
      </c>
      <c r="BJL19" s="4">
        <v>0</v>
      </c>
      <c r="BJM19" s="4">
        <v>0</v>
      </c>
      <c r="BJN19" s="4">
        <v>0</v>
      </c>
      <c r="BJO19" s="4">
        <v>0</v>
      </c>
      <c r="BJP19" s="4">
        <v>0</v>
      </c>
      <c r="BJQ19" s="4">
        <v>0</v>
      </c>
      <c r="BJR19" s="4">
        <v>0</v>
      </c>
      <c r="BJS19" s="4">
        <v>0</v>
      </c>
      <c r="BJT19" s="4">
        <v>0</v>
      </c>
      <c r="BJU19" s="4">
        <v>0</v>
      </c>
      <c r="BJV19" s="4">
        <v>0</v>
      </c>
      <c r="BJW19" s="4">
        <v>0</v>
      </c>
      <c r="BJX19" s="4">
        <v>0</v>
      </c>
      <c r="BJY19" s="4">
        <v>0</v>
      </c>
      <c r="BJZ19" s="4">
        <v>0</v>
      </c>
      <c r="BKA19" s="4">
        <v>0</v>
      </c>
      <c r="BKB19" s="4">
        <v>0</v>
      </c>
      <c r="BKC19" s="4">
        <v>0</v>
      </c>
      <c r="BKD19" s="4">
        <v>0</v>
      </c>
      <c r="BKE19" s="4">
        <v>0</v>
      </c>
      <c r="BKF19" s="4">
        <v>0</v>
      </c>
      <c r="BKG19" s="4">
        <v>0</v>
      </c>
      <c r="BKH19" s="4">
        <v>0</v>
      </c>
      <c r="BKI19" s="4">
        <v>0</v>
      </c>
      <c r="BKJ19" s="4">
        <v>0</v>
      </c>
      <c r="BKK19" s="4">
        <v>0</v>
      </c>
      <c r="BKL19" s="4">
        <v>0</v>
      </c>
      <c r="BKM19" s="4">
        <v>0</v>
      </c>
      <c r="BKN19" s="4">
        <v>0</v>
      </c>
      <c r="BKO19" s="4">
        <v>0</v>
      </c>
      <c r="BKP19" s="4">
        <v>0</v>
      </c>
      <c r="BKQ19" s="4">
        <v>0</v>
      </c>
      <c r="BKR19" s="4">
        <v>0</v>
      </c>
      <c r="BKS19" s="4">
        <v>0</v>
      </c>
      <c r="BKT19" s="4">
        <v>0</v>
      </c>
      <c r="BKU19" s="4">
        <v>0</v>
      </c>
      <c r="BKV19" s="4">
        <v>0</v>
      </c>
      <c r="BKW19" s="4">
        <v>0</v>
      </c>
      <c r="BKX19" s="4">
        <v>0</v>
      </c>
      <c r="BKY19" s="4">
        <v>0</v>
      </c>
      <c r="BKZ19" s="4">
        <v>0</v>
      </c>
      <c r="BLA19" s="4">
        <v>0</v>
      </c>
      <c r="BLB19" s="4">
        <v>0</v>
      </c>
      <c r="BLC19" s="4">
        <v>0</v>
      </c>
      <c r="BLD19" s="4">
        <v>0</v>
      </c>
      <c r="BLE19" s="4">
        <v>0</v>
      </c>
      <c r="BLF19" s="4">
        <v>0</v>
      </c>
      <c r="BLG19" s="4">
        <v>0</v>
      </c>
      <c r="BLH19" s="4">
        <v>0</v>
      </c>
      <c r="BLI19" s="4">
        <v>0</v>
      </c>
      <c r="BLJ19" s="4">
        <v>0</v>
      </c>
      <c r="BLK19" s="4">
        <v>0</v>
      </c>
    </row>
    <row r="20" spans="1:1675" x14ac:dyDescent="0.2">
      <c r="A20">
        <v>2</v>
      </c>
      <c r="B20">
        <v>6</v>
      </c>
      <c r="C20">
        <f t="shared" si="0"/>
        <v>77</v>
      </c>
      <c r="D20">
        <f t="shared" si="3"/>
        <v>935</v>
      </c>
      <c r="E20">
        <f t="shared" si="4"/>
        <v>19</v>
      </c>
      <c r="F20">
        <f t="shared" si="2"/>
        <v>6</v>
      </c>
      <c r="G20">
        <f t="shared" si="5"/>
        <v>2</v>
      </c>
      <c r="H20" cm="1">
        <f t="array" ref="H20">_xlfn.IFS(P20=0, 1, P20=7, 2, P20=5, 3)</f>
        <v>3</v>
      </c>
      <c r="I20" cm="1">
        <f t="array" ref="I20">_xlfn.IFS(H20=1, IF(AC20=0, P20, PO20), H20=2, IF(AC20=0, P20, AFN20), H20=3, IF(AC20=0, P20, AVM20))</f>
        <v>5</v>
      </c>
      <c r="J20" cm="1">
        <f t="array" ref="J20">_xlfn.IFS(I20=0, 1, I20=1, 0, I20=2, 7, I20=7, 2, I20=5, 6, I20=6, 5)</f>
        <v>6</v>
      </c>
      <c r="K20" t="str" cm="1">
        <f t="array" ref="K20">_xlfn.IFNA(_xlfn.IFS(P20&lt;&gt;P21, 1, A20&lt;&gt;A21, IF(P21=P20, 1)), "")</f>
        <v/>
      </c>
      <c r="L20" t="str">
        <f t="shared" si="1"/>
        <v/>
      </c>
      <c r="M20" t="s">
        <v>1734</v>
      </c>
      <c r="N20" t="s">
        <v>1695</v>
      </c>
      <c r="P20">
        <v>5</v>
      </c>
      <c r="Q20">
        <v>86</v>
      </c>
      <c r="R20">
        <v>27</v>
      </c>
      <c r="S20">
        <v>10</v>
      </c>
      <c r="T20">
        <v>6</v>
      </c>
      <c r="U20">
        <v>0</v>
      </c>
      <c r="V20">
        <v>0</v>
      </c>
      <c r="W20">
        <v>15</v>
      </c>
      <c r="X20">
        <v>4</v>
      </c>
      <c r="Y20">
        <v>6</v>
      </c>
      <c r="Z20">
        <v>2</v>
      </c>
      <c r="AA20">
        <v>366</v>
      </c>
      <c r="AB20">
        <v>396</v>
      </c>
      <c r="AC20">
        <v>0</v>
      </c>
      <c r="AD20">
        <v>63</v>
      </c>
      <c r="AE20">
        <v>7</v>
      </c>
      <c r="AF20" t="s">
        <v>1680</v>
      </c>
      <c r="AG20">
        <v>15</v>
      </c>
      <c r="AH20" t="s">
        <v>1680</v>
      </c>
      <c r="AI20">
        <v>7</v>
      </c>
      <c r="AJ20">
        <v>16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6</v>
      </c>
      <c r="BD20">
        <v>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4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5</v>
      </c>
      <c r="FC20">
        <v>0</v>
      </c>
      <c r="FD20">
        <v>0</v>
      </c>
      <c r="FE20">
        <v>0</v>
      </c>
      <c r="FF20">
        <v>0</v>
      </c>
      <c r="FG20">
        <v>6</v>
      </c>
      <c r="FH20">
        <v>0</v>
      </c>
      <c r="FI20">
        <v>4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1</v>
      </c>
      <c r="GQ20">
        <v>0</v>
      </c>
      <c r="GR20">
        <v>0</v>
      </c>
      <c r="GS20">
        <v>0</v>
      </c>
      <c r="GT20">
        <v>0</v>
      </c>
      <c r="GU20">
        <v>3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4</v>
      </c>
      <c r="HX20">
        <v>0</v>
      </c>
      <c r="HY20">
        <v>0</v>
      </c>
      <c r="HZ20">
        <v>2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2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2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6</v>
      </c>
      <c r="PP20">
        <v>34</v>
      </c>
      <c r="PQ20">
        <v>15</v>
      </c>
      <c r="PR20">
        <v>23</v>
      </c>
      <c r="PS20">
        <v>4</v>
      </c>
      <c r="PT20">
        <v>0</v>
      </c>
      <c r="PU20">
        <v>0</v>
      </c>
      <c r="PV20">
        <v>10</v>
      </c>
      <c r="PW20">
        <v>0</v>
      </c>
      <c r="PX20">
        <v>4</v>
      </c>
      <c r="PY20">
        <v>1</v>
      </c>
      <c r="PZ20">
        <v>328</v>
      </c>
      <c r="QA20">
        <v>396</v>
      </c>
      <c r="QB20">
        <v>1</v>
      </c>
      <c r="QC20">
        <v>44</v>
      </c>
      <c r="QD20">
        <v>2</v>
      </c>
      <c r="QE20" t="s">
        <v>1671</v>
      </c>
      <c r="QF20">
        <v>8</v>
      </c>
      <c r="QG20" t="s">
        <v>1676</v>
      </c>
      <c r="QH20">
        <v>15</v>
      </c>
      <c r="QI20">
        <v>13</v>
      </c>
      <c r="QJ20">
        <v>4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0.65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4</v>
      </c>
      <c r="RC20">
        <v>4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1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1</v>
      </c>
      <c r="SW20">
        <v>2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1</v>
      </c>
      <c r="TE20">
        <v>0</v>
      </c>
      <c r="TF20">
        <v>0</v>
      </c>
      <c r="TG20">
        <v>1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1</v>
      </c>
      <c r="VB20">
        <v>0</v>
      </c>
      <c r="VC20">
        <v>0</v>
      </c>
      <c r="VD20">
        <v>0</v>
      </c>
      <c r="VE20">
        <v>0</v>
      </c>
      <c r="VF20">
        <v>2</v>
      </c>
      <c r="VG20">
        <v>0</v>
      </c>
      <c r="VH20">
        <v>2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8</v>
      </c>
      <c r="VT20">
        <v>1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3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1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1</v>
      </c>
      <c r="XS20">
        <v>0</v>
      </c>
      <c r="XT20">
        <v>0</v>
      </c>
      <c r="XU20">
        <v>0</v>
      </c>
      <c r="XV20">
        <v>9</v>
      </c>
      <c r="XW20">
        <v>0</v>
      </c>
      <c r="XX20">
        <v>0</v>
      </c>
      <c r="XY20">
        <v>1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1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5</v>
      </c>
      <c r="AFO20">
        <v>64</v>
      </c>
      <c r="AFP20">
        <v>17</v>
      </c>
      <c r="AFQ20">
        <v>18</v>
      </c>
      <c r="AFR20">
        <v>8</v>
      </c>
      <c r="AFS20">
        <v>0</v>
      </c>
      <c r="AFT20">
        <v>0</v>
      </c>
      <c r="AFU20">
        <v>15</v>
      </c>
      <c r="AFV20">
        <v>1</v>
      </c>
      <c r="AFW20">
        <v>0</v>
      </c>
      <c r="AFX20">
        <v>1</v>
      </c>
      <c r="AFY20">
        <v>342</v>
      </c>
      <c r="AFZ20">
        <v>396</v>
      </c>
      <c r="AGA20">
        <v>0</v>
      </c>
      <c r="AGB20">
        <v>44</v>
      </c>
      <c r="AGC20">
        <v>7</v>
      </c>
      <c r="AGD20" t="s">
        <v>1678</v>
      </c>
      <c r="AGE20">
        <v>9</v>
      </c>
      <c r="AGF20" t="s">
        <v>1678</v>
      </c>
      <c r="AGG20">
        <v>10</v>
      </c>
      <c r="AGH20">
        <v>13</v>
      </c>
      <c r="AGI20">
        <v>7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0.94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8</v>
      </c>
      <c r="AHB20">
        <v>1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2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1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4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1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1</v>
      </c>
      <c r="ALA20">
        <v>0</v>
      </c>
      <c r="ALB20">
        <v>0</v>
      </c>
      <c r="ALC20">
        <v>0</v>
      </c>
      <c r="ALD20">
        <v>0</v>
      </c>
      <c r="ALE20">
        <v>2</v>
      </c>
      <c r="ALF20">
        <v>0</v>
      </c>
      <c r="ALG20">
        <v>4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8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1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3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3</v>
      </c>
      <c r="ANV20">
        <v>0</v>
      </c>
      <c r="ANW20">
        <v>0</v>
      </c>
      <c r="ANX20">
        <v>3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1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6</v>
      </c>
      <c r="AVN20">
        <v>69</v>
      </c>
      <c r="AVO20">
        <v>13</v>
      </c>
      <c r="AVP20">
        <v>21</v>
      </c>
      <c r="AVQ20">
        <v>4</v>
      </c>
      <c r="AVR20">
        <v>0</v>
      </c>
      <c r="AVS20">
        <v>0</v>
      </c>
      <c r="AVT20">
        <v>12</v>
      </c>
      <c r="AVU20">
        <v>1</v>
      </c>
      <c r="AVV20">
        <v>0</v>
      </c>
      <c r="AVW20">
        <v>0</v>
      </c>
      <c r="AVX20">
        <v>334</v>
      </c>
      <c r="AVY20">
        <v>396</v>
      </c>
      <c r="AVZ20">
        <v>1</v>
      </c>
      <c r="AWA20">
        <v>39</v>
      </c>
      <c r="AWB20">
        <v>4</v>
      </c>
      <c r="AWC20" t="s">
        <v>1671</v>
      </c>
      <c r="AWD20">
        <v>10</v>
      </c>
      <c r="AWE20" t="s">
        <v>1676</v>
      </c>
      <c r="AWF20">
        <v>12</v>
      </c>
      <c r="AWG20">
        <v>18</v>
      </c>
      <c r="AWH20">
        <v>6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0.62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4</v>
      </c>
      <c r="AXA20">
        <v>2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2</v>
      </c>
      <c r="AYU20">
        <v>3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2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1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1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1</v>
      </c>
      <c r="BAZ20">
        <v>0</v>
      </c>
      <c r="BBA20">
        <v>0</v>
      </c>
      <c r="BBB20">
        <v>0</v>
      </c>
      <c r="BBC20">
        <v>0</v>
      </c>
      <c r="BBD20">
        <v>1</v>
      </c>
      <c r="BBE20">
        <v>0</v>
      </c>
      <c r="BBF20">
        <v>2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4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2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1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1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2</v>
      </c>
      <c r="BDQ20">
        <v>0</v>
      </c>
      <c r="BDR20">
        <v>0</v>
      </c>
      <c r="BDS20">
        <v>0</v>
      </c>
      <c r="BDT20">
        <v>4</v>
      </c>
      <c r="BDU20">
        <v>0</v>
      </c>
      <c r="BDV20">
        <v>0</v>
      </c>
      <c r="BDW20">
        <v>6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</row>
    <row r="21" spans="1:1675" x14ac:dyDescent="0.2">
      <c r="A21">
        <v>2</v>
      </c>
      <c r="B21">
        <v>6</v>
      </c>
      <c r="C21">
        <f t="shared" si="0"/>
        <v>77</v>
      </c>
      <c r="D21">
        <f t="shared" si="3"/>
        <v>936</v>
      </c>
      <c r="E21">
        <f t="shared" si="4"/>
        <v>20</v>
      </c>
      <c r="F21">
        <f t="shared" si="2"/>
        <v>7</v>
      </c>
      <c r="G21">
        <f t="shared" si="5"/>
        <v>3</v>
      </c>
      <c r="H21" cm="1">
        <f t="array" ref="H21">_xlfn.IFS(P21=0, 1, P21=7, 2, P21=5, 3)</f>
        <v>3</v>
      </c>
      <c r="I21" cm="1">
        <f t="array" ref="I21">_xlfn.IFS(H21=1, IF(AC21=0, P21, PO21), H21=2, IF(AC21=0, P21, AFN21), H21=3, IF(AC21=0, P21, AVM21))</f>
        <v>6</v>
      </c>
      <c r="J21" cm="1">
        <f t="array" ref="J21">_xlfn.IFS(I21=0, 1, I21=1, 0, I21=2, 7, I21=7, 2, I21=5, 6, I21=6, 5)</f>
        <v>5</v>
      </c>
      <c r="K21" t="str" cm="1">
        <f t="array" ref="K21">_xlfn.IFNA(_xlfn.IFS(P21&lt;&gt;P22, 1, A21&lt;&gt;A22, IF(P22=P21, 1)), "")</f>
        <v/>
      </c>
      <c r="L21" t="str">
        <f t="shared" si="1"/>
        <v/>
      </c>
      <c r="M21" t="s">
        <v>1741</v>
      </c>
      <c r="N21" t="s">
        <v>1696</v>
      </c>
      <c r="P21">
        <v>5</v>
      </c>
      <c r="Q21">
        <v>59</v>
      </c>
      <c r="R21">
        <v>9</v>
      </c>
      <c r="S21">
        <v>12</v>
      </c>
      <c r="T21">
        <v>4</v>
      </c>
      <c r="U21">
        <v>0</v>
      </c>
      <c r="V21">
        <v>0</v>
      </c>
      <c r="W21">
        <v>7</v>
      </c>
      <c r="X21">
        <v>1</v>
      </c>
      <c r="Y21">
        <v>1</v>
      </c>
      <c r="Z21">
        <v>0</v>
      </c>
      <c r="AA21">
        <v>314</v>
      </c>
      <c r="AB21">
        <v>349</v>
      </c>
      <c r="AC21">
        <v>1</v>
      </c>
      <c r="AD21">
        <v>29</v>
      </c>
      <c r="AE21">
        <v>4</v>
      </c>
      <c r="AF21" t="s">
        <v>1680</v>
      </c>
      <c r="AG21">
        <v>6</v>
      </c>
      <c r="AH21" t="s">
        <v>1678</v>
      </c>
      <c r="AI21">
        <v>6</v>
      </c>
      <c r="AJ21">
        <v>115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0.75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2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2</v>
      </c>
      <c r="FH21">
        <v>0</v>
      </c>
      <c r="FI21">
        <v>2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4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4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6</v>
      </c>
      <c r="PP21">
        <v>54</v>
      </c>
      <c r="PQ21">
        <v>14</v>
      </c>
      <c r="PR21">
        <v>13</v>
      </c>
      <c r="PS21">
        <v>6</v>
      </c>
      <c r="PT21">
        <v>0</v>
      </c>
      <c r="PU21">
        <v>0</v>
      </c>
      <c r="PV21">
        <v>10</v>
      </c>
      <c r="PW21">
        <v>1</v>
      </c>
      <c r="PX21">
        <v>3</v>
      </c>
      <c r="PY21">
        <v>0</v>
      </c>
      <c r="PZ21">
        <v>310</v>
      </c>
      <c r="QA21">
        <v>349</v>
      </c>
      <c r="QB21">
        <v>0</v>
      </c>
      <c r="QC21">
        <v>38</v>
      </c>
      <c r="QD21">
        <v>3</v>
      </c>
      <c r="QE21" t="s">
        <v>1671</v>
      </c>
      <c r="QF21">
        <v>8</v>
      </c>
      <c r="QG21" t="s">
        <v>1671</v>
      </c>
      <c r="QH21">
        <v>7</v>
      </c>
      <c r="QI21">
        <v>115</v>
      </c>
      <c r="QJ21">
        <v>5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1.08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6</v>
      </c>
      <c r="RC21">
        <v>2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1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1</v>
      </c>
      <c r="SW21">
        <v>1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2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1</v>
      </c>
      <c r="UU21">
        <v>0</v>
      </c>
      <c r="UV21">
        <v>0</v>
      </c>
      <c r="UW21">
        <v>0</v>
      </c>
      <c r="UX21">
        <v>0</v>
      </c>
      <c r="UY21">
        <v>1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1</v>
      </c>
      <c r="VG21">
        <v>0</v>
      </c>
      <c r="VH21">
        <v>3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3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1</v>
      </c>
      <c r="WP21">
        <v>0</v>
      </c>
      <c r="WQ21">
        <v>0</v>
      </c>
      <c r="WR21">
        <v>0</v>
      </c>
      <c r="WS21">
        <v>0</v>
      </c>
      <c r="WT21">
        <v>2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3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4</v>
      </c>
      <c r="XW21">
        <v>0</v>
      </c>
      <c r="XX21">
        <v>0</v>
      </c>
      <c r="XY21">
        <v>1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5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5</v>
      </c>
      <c r="AFO21">
        <v>21</v>
      </c>
      <c r="AFP21">
        <v>13</v>
      </c>
      <c r="AFQ21">
        <v>15</v>
      </c>
      <c r="AFR21">
        <v>5</v>
      </c>
      <c r="AFS21">
        <v>0</v>
      </c>
      <c r="AFT21">
        <v>0</v>
      </c>
      <c r="AFU21">
        <v>11</v>
      </c>
      <c r="AFV21">
        <v>0</v>
      </c>
      <c r="AFW21">
        <v>1</v>
      </c>
      <c r="AFX21">
        <v>1</v>
      </c>
      <c r="AFY21">
        <v>305</v>
      </c>
      <c r="AFZ21">
        <v>349</v>
      </c>
      <c r="AGA21">
        <v>1</v>
      </c>
      <c r="AGB21">
        <v>31</v>
      </c>
      <c r="AGC21">
        <v>3</v>
      </c>
      <c r="AGD21" t="s">
        <v>1680</v>
      </c>
      <c r="AGE21">
        <v>7</v>
      </c>
      <c r="AGF21" t="s">
        <v>1680</v>
      </c>
      <c r="AGG21">
        <v>8</v>
      </c>
      <c r="AGH21">
        <v>13</v>
      </c>
      <c r="AGI21">
        <v>4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0.87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5</v>
      </c>
      <c r="AHB21">
        <v>2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2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1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2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4</v>
      </c>
      <c r="ALA21">
        <v>0</v>
      </c>
      <c r="ALB21">
        <v>0</v>
      </c>
      <c r="ALC21">
        <v>0</v>
      </c>
      <c r="ALD21">
        <v>0</v>
      </c>
      <c r="ALE21">
        <v>2</v>
      </c>
      <c r="ALF21">
        <v>0</v>
      </c>
      <c r="ALG21">
        <v>3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5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2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1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6</v>
      </c>
      <c r="AVN21">
        <v>96</v>
      </c>
      <c r="AVO21">
        <v>13</v>
      </c>
      <c r="AVP21">
        <v>9</v>
      </c>
      <c r="AVQ21">
        <v>3</v>
      </c>
      <c r="AVR21">
        <v>0</v>
      </c>
      <c r="AVS21">
        <v>0</v>
      </c>
      <c r="AVT21">
        <v>8</v>
      </c>
      <c r="AVU21">
        <v>4</v>
      </c>
      <c r="AVV21">
        <v>1</v>
      </c>
      <c r="AVW21">
        <v>0</v>
      </c>
      <c r="AVX21">
        <v>323</v>
      </c>
      <c r="AVY21">
        <v>349</v>
      </c>
      <c r="AVZ21">
        <v>0</v>
      </c>
      <c r="AWA21">
        <v>33</v>
      </c>
      <c r="AWB21">
        <v>4</v>
      </c>
      <c r="AWC21" t="s">
        <v>1671</v>
      </c>
      <c r="AWD21">
        <v>7</v>
      </c>
      <c r="AWE21" t="s">
        <v>1671</v>
      </c>
      <c r="AWF21">
        <v>6</v>
      </c>
      <c r="AWG21">
        <v>18</v>
      </c>
      <c r="AWH21">
        <v>3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1.44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3</v>
      </c>
      <c r="AXA21">
        <v>6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2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1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1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3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1</v>
      </c>
      <c r="BAZ21">
        <v>0</v>
      </c>
      <c r="BBA21">
        <v>0</v>
      </c>
      <c r="BBB21">
        <v>0</v>
      </c>
      <c r="BBC21">
        <v>0</v>
      </c>
      <c r="BBD21">
        <v>2</v>
      </c>
      <c r="BBE21">
        <v>0</v>
      </c>
      <c r="BBF21">
        <v>2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4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1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1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3</v>
      </c>
      <c r="BDU21">
        <v>0</v>
      </c>
      <c r="BDV21">
        <v>0</v>
      </c>
      <c r="BDW21">
        <v>3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</row>
    <row r="22" spans="1:1675" x14ac:dyDescent="0.2">
      <c r="A22">
        <v>2</v>
      </c>
      <c r="B22">
        <v>6</v>
      </c>
      <c r="C22">
        <f t="shared" si="0"/>
        <v>77</v>
      </c>
      <c r="D22">
        <f t="shared" si="3"/>
        <v>937</v>
      </c>
      <c r="E22">
        <f t="shared" si="4"/>
        <v>21</v>
      </c>
      <c r="F22">
        <f t="shared" si="2"/>
        <v>8</v>
      </c>
      <c r="G22">
        <f t="shared" si="5"/>
        <v>4</v>
      </c>
      <c r="H22" cm="1">
        <f t="array" ref="H22">_xlfn.IFS(P22=0, 1, P22=7, 2, P22=5, 3)</f>
        <v>3</v>
      </c>
      <c r="I22" cm="1">
        <f t="array" ref="I22">_xlfn.IFS(H22=1, IF(AC22=0, P22, PO22), H22=2, IF(AC22=0, P22, AFN22), H22=3, IF(AC22=0, P22, AVM22))</f>
        <v>5</v>
      </c>
      <c r="J22" cm="1">
        <f t="array" ref="J22">_xlfn.IFS(I22=0, 1, I22=1, 0, I22=2, 7, I22=7, 2, I22=5, 6, I22=6, 5)</f>
        <v>6</v>
      </c>
      <c r="K22" cm="1">
        <f t="array" ref="K22">_xlfn.IFNA(_xlfn.IFS(P22&lt;&gt;P23, 1, A22&lt;&gt;A23, IF(P23=P22, 1)), "")</f>
        <v>1</v>
      </c>
      <c r="L22">
        <f t="shared" si="1"/>
        <v>5</v>
      </c>
      <c r="M22" t="s">
        <v>1728</v>
      </c>
      <c r="N22" t="s">
        <v>1697</v>
      </c>
      <c r="P22">
        <v>5</v>
      </c>
      <c r="Q22">
        <v>66</v>
      </c>
      <c r="R22">
        <v>25</v>
      </c>
      <c r="S22">
        <v>22</v>
      </c>
      <c r="T22">
        <v>7</v>
      </c>
      <c r="U22">
        <v>0</v>
      </c>
      <c r="V22">
        <v>1</v>
      </c>
      <c r="W22">
        <v>14</v>
      </c>
      <c r="X22">
        <v>5</v>
      </c>
      <c r="Y22">
        <v>6</v>
      </c>
      <c r="Z22">
        <v>0</v>
      </c>
      <c r="AA22">
        <v>377</v>
      </c>
      <c r="AB22">
        <v>446</v>
      </c>
      <c r="AC22">
        <v>0</v>
      </c>
      <c r="AD22">
        <v>66</v>
      </c>
      <c r="AE22">
        <v>4</v>
      </c>
      <c r="AF22" t="s">
        <v>1678</v>
      </c>
      <c r="AG22">
        <v>14</v>
      </c>
      <c r="AH22" t="s">
        <v>1680</v>
      </c>
      <c r="AI22">
        <v>11</v>
      </c>
      <c r="AJ22">
        <v>20</v>
      </c>
      <c r="AK22">
        <v>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1.1399999999999999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</v>
      </c>
      <c r="BD22">
        <v>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3</v>
      </c>
      <c r="FC22">
        <v>0</v>
      </c>
      <c r="FD22">
        <v>0</v>
      </c>
      <c r="FE22">
        <v>0</v>
      </c>
      <c r="FF22">
        <v>0</v>
      </c>
      <c r="FG22">
        <v>3</v>
      </c>
      <c r="FH22">
        <v>0</v>
      </c>
      <c r="FI22">
        <v>5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7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3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2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12</v>
      </c>
      <c r="HX22">
        <v>0</v>
      </c>
      <c r="HY22">
        <v>0</v>
      </c>
      <c r="HZ22">
        <v>4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3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6</v>
      </c>
      <c r="PP22">
        <v>52</v>
      </c>
      <c r="PQ22">
        <v>29</v>
      </c>
      <c r="PR22">
        <v>23</v>
      </c>
      <c r="PS22">
        <v>5</v>
      </c>
      <c r="PT22">
        <v>0</v>
      </c>
      <c r="PU22">
        <v>0</v>
      </c>
      <c r="PV22">
        <v>10</v>
      </c>
      <c r="PW22">
        <v>5</v>
      </c>
      <c r="PX22">
        <v>14</v>
      </c>
      <c r="PY22">
        <v>0</v>
      </c>
      <c r="PZ22">
        <v>377</v>
      </c>
      <c r="QA22">
        <v>446</v>
      </c>
      <c r="QB22">
        <v>1</v>
      </c>
      <c r="QC22">
        <v>71</v>
      </c>
      <c r="QD22">
        <v>4</v>
      </c>
      <c r="QE22" t="s">
        <v>1671</v>
      </c>
      <c r="QF22">
        <v>18</v>
      </c>
      <c r="QG22" t="s">
        <v>1671</v>
      </c>
      <c r="QH22">
        <v>12</v>
      </c>
      <c r="QI22">
        <v>18</v>
      </c>
      <c r="QJ22">
        <v>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1.26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4</v>
      </c>
      <c r="RC22">
        <v>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1</v>
      </c>
      <c r="SW22">
        <v>1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5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5</v>
      </c>
      <c r="UU22">
        <v>0</v>
      </c>
      <c r="UV22">
        <v>0</v>
      </c>
      <c r="UW22">
        <v>0</v>
      </c>
      <c r="UX22">
        <v>0</v>
      </c>
      <c r="UY22">
        <v>6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3</v>
      </c>
      <c r="VG22">
        <v>0</v>
      </c>
      <c r="VH22">
        <v>6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3</v>
      </c>
      <c r="VT22">
        <v>2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3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3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3</v>
      </c>
      <c r="XS22">
        <v>0</v>
      </c>
      <c r="XT22">
        <v>0</v>
      </c>
      <c r="XU22">
        <v>0</v>
      </c>
      <c r="XV22">
        <v>8</v>
      </c>
      <c r="XW22">
        <v>0</v>
      </c>
      <c r="XX22">
        <v>0</v>
      </c>
      <c r="XY22">
        <v>6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1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5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5</v>
      </c>
      <c r="AFO22">
        <v>84</v>
      </c>
      <c r="AFP22">
        <v>23</v>
      </c>
      <c r="AFQ22">
        <v>24</v>
      </c>
      <c r="AFR22">
        <v>9</v>
      </c>
      <c r="AFS22">
        <v>0</v>
      </c>
      <c r="AFT22">
        <v>0</v>
      </c>
      <c r="AFU22">
        <v>14</v>
      </c>
      <c r="AFV22">
        <v>2</v>
      </c>
      <c r="AFW22">
        <v>6</v>
      </c>
      <c r="AFX22">
        <v>1</v>
      </c>
      <c r="AFY22">
        <v>374</v>
      </c>
      <c r="AFZ22">
        <v>446</v>
      </c>
      <c r="AGA22">
        <v>0</v>
      </c>
      <c r="AGB22">
        <v>64</v>
      </c>
      <c r="AGC22">
        <v>4</v>
      </c>
      <c r="AGD22" t="s">
        <v>1680</v>
      </c>
      <c r="AGE22">
        <v>12</v>
      </c>
      <c r="AGF22" t="s">
        <v>1680</v>
      </c>
      <c r="AGG22">
        <v>18</v>
      </c>
      <c r="AGH22">
        <v>16</v>
      </c>
      <c r="AGI22">
        <v>4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0.96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9</v>
      </c>
      <c r="AHB22">
        <v>3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1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4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4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1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1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1</v>
      </c>
      <c r="AKT22">
        <v>1</v>
      </c>
      <c r="AKU22">
        <v>0</v>
      </c>
      <c r="AKV22">
        <v>0</v>
      </c>
      <c r="AKW22">
        <v>0</v>
      </c>
      <c r="AKX22">
        <v>3</v>
      </c>
      <c r="AKY22">
        <v>0</v>
      </c>
      <c r="AKZ22">
        <v>7</v>
      </c>
      <c r="ALA22">
        <v>0</v>
      </c>
      <c r="ALB22">
        <v>0</v>
      </c>
      <c r="ALC22">
        <v>0</v>
      </c>
      <c r="ALD22">
        <v>0</v>
      </c>
      <c r="ALE22">
        <v>4</v>
      </c>
      <c r="ALF22">
        <v>0</v>
      </c>
      <c r="ALG22">
        <v>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6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1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2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7</v>
      </c>
      <c r="ANV22">
        <v>0</v>
      </c>
      <c r="ANW22">
        <v>0</v>
      </c>
      <c r="ANX22">
        <v>1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3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6</v>
      </c>
      <c r="AVN22">
        <v>92</v>
      </c>
      <c r="AVO22">
        <v>16</v>
      </c>
      <c r="AVP22">
        <v>25</v>
      </c>
      <c r="AVQ22">
        <v>7</v>
      </c>
      <c r="AVR22">
        <v>0</v>
      </c>
      <c r="AVS22">
        <v>0</v>
      </c>
      <c r="AVT22">
        <v>8</v>
      </c>
      <c r="AVU22">
        <v>3</v>
      </c>
      <c r="AVV22">
        <v>5</v>
      </c>
      <c r="AVW22">
        <v>0</v>
      </c>
      <c r="AVX22">
        <v>371</v>
      </c>
      <c r="AVY22">
        <v>446</v>
      </c>
      <c r="AVZ22">
        <v>1</v>
      </c>
      <c r="AWA22">
        <v>47</v>
      </c>
      <c r="AWB22">
        <v>3</v>
      </c>
      <c r="AWC22" t="s">
        <v>1676</v>
      </c>
      <c r="AWD22">
        <v>10</v>
      </c>
      <c r="AWE22" t="s">
        <v>1676</v>
      </c>
      <c r="AWF22">
        <v>14</v>
      </c>
      <c r="AWG22">
        <v>75</v>
      </c>
      <c r="AWH22">
        <v>5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0.64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7</v>
      </c>
      <c r="AXA22">
        <v>3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1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1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3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1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3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1</v>
      </c>
      <c r="BAZ22">
        <v>0</v>
      </c>
      <c r="BBA22">
        <v>0</v>
      </c>
      <c r="BBB22">
        <v>0</v>
      </c>
      <c r="BBC22">
        <v>0</v>
      </c>
      <c r="BBD22">
        <v>3</v>
      </c>
      <c r="BBE22">
        <v>0</v>
      </c>
      <c r="BBF22">
        <v>4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4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4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1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9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2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</row>
    <row r="23" spans="1:1675" x14ac:dyDescent="0.2">
      <c r="A23">
        <v>2</v>
      </c>
      <c r="B23">
        <v>6</v>
      </c>
      <c r="C23">
        <f t="shared" si="0"/>
        <v>77</v>
      </c>
      <c r="D23">
        <f t="shared" si="3"/>
        <v>938</v>
      </c>
      <c r="E23">
        <f t="shared" si="4"/>
        <v>22</v>
      </c>
      <c r="F23">
        <f t="shared" si="2"/>
        <v>9</v>
      </c>
      <c r="G23">
        <f t="shared" si="5"/>
        <v>1</v>
      </c>
      <c r="H23" cm="1">
        <f t="array" ref="H23">_xlfn.IFS(P23=0, 1, P23=7, 2, P23=5, 3)</f>
        <v>1</v>
      </c>
      <c r="I23" cm="1">
        <f t="array" ref="I23">_xlfn.IFS(H23=1, IF(AC23=0, P23, PO23), H23=2, IF(AC23=0, P23, AFN23), H23=3, IF(AC23=0, P23, AVM23))</f>
        <v>1</v>
      </c>
      <c r="J23" cm="1">
        <f t="array" ref="J23">_xlfn.IFS(I23=0, 1, I23=1, 0, I23=2, 7, I23=7, 2, I23=5, 6, I23=6, 5)</f>
        <v>0</v>
      </c>
      <c r="K23" t="str" cm="1">
        <f t="array" ref="K23">_xlfn.IFNA(_xlfn.IFS(P23&lt;&gt;P24, 1, A23&lt;&gt;A24, IF(P24=P23, 1)), "")</f>
        <v/>
      </c>
      <c r="L23" t="str">
        <f t="shared" si="1"/>
        <v/>
      </c>
      <c r="M23" t="s">
        <v>1742</v>
      </c>
      <c r="N23" t="s">
        <v>1698</v>
      </c>
      <c r="P23">
        <v>0</v>
      </c>
      <c r="Q23">
        <v>32</v>
      </c>
      <c r="R23">
        <v>12</v>
      </c>
      <c r="S23">
        <v>17</v>
      </c>
      <c r="T23">
        <v>4</v>
      </c>
      <c r="U23">
        <v>0</v>
      </c>
      <c r="V23">
        <v>0</v>
      </c>
      <c r="W23">
        <v>9</v>
      </c>
      <c r="X23">
        <v>1</v>
      </c>
      <c r="Y23">
        <v>1</v>
      </c>
      <c r="Z23">
        <v>1</v>
      </c>
      <c r="AA23">
        <v>486</v>
      </c>
      <c r="AB23">
        <v>537</v>
      </c>
      <c r="AC23">
        <v>1</v>
      </c>
      <c r="AD23">
        <v>27</v>
      </c>
      <c r="AE23">
        <v>3</v>
      </c>
      <c r="AF23" t="s">
        <v>1680</v>
      </c>
      <c r="AG23">
        <v>8</v>
      </c>
      <c r="AH23" t="s">
        <v>1671</v>
      </c>
      <c r="AI23">
        <v>9</v>
      </c>
      <c r="AJ23">
        <v>17</v>
      </c>
      <c r="AK23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0.71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2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3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5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3</v>
      </c>
      <c r="HX23">
        <v>0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1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1</v>
      </c>
      <c r="PP23">
        <v>76</v>
      </c>
      <c r="PQ23">
        <v>12</v>
      </c>
      <c r="PR23">
        <v>14</v>
      </c>
      <c r="PS23">
        <v>4</v>
      </c>
      <c r="PT23">
        <v>1</v>
      </c>
      <c r="PU23">
        <v>1</v>
      </c>
      <c r="PV23">
        <v>6</v>
      </c>
      <c r="PW23">
        <v>1</v>
      </c>
      <c r="PX23">
        <v>2</v>
      </c>
      <c r="PY23">
        <v>3</v>
      </c>
      <c r="PZ23">
        <v>489</v>
      </c>
      <c r="QA23">
        <v>537</v>
      </c>
      <c r="QB23">
        <v>0</v>
      </c>
      <c r="QC23">
        <v>29</v>
      </c>
      <c r="QD23">
        <v>3</v>
      </c>
      <c r="QE23" t="s">
        <v>1676</v>
      </c>
      <c r="QF23">
        <v>8</v>
      </c>
      <c r="QG23" t="s">
        <v>1676</v>
      </c>
      <c r="QH23">
        <v>8</v>
      </c>
      <c r="QI23">
        <v>18</v>
      </c>
      <c r="QJ23">
        <v>2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0.86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1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1</v>
      </c>
      <c r="TP23">
        <v>1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1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1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4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2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3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2</v>
      </c>
      <c r="XS23">
        <v>0</v>
      </c>
      <c r="XT23">
        <v>0</v>
      </c>
      <c r="XU23">
        <v>0</v>
      </c>
      <c r="XV23">
        <v>5</v>
      </c>
      <c r="XW23">
        <v>0</v>
      </c>
      <c r="XX23">
        <v>0</v>
      </c>
      <c r="XY23">
        <v>2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1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1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1</v>
      </c>
      <c r="AFO23">
        <v>74</v>
      </c>
      <c r="AFP23">
        <v>20</v>
      </c>
      <c r="AFQ23">
        <v>9</v>
      </c>
      <c r="AFR23">
        <v>4</v>
      </c>
      <c r="AFS23">
        <v>0</v>
      </c>
      <c r="AFT23">
        <v>0</v>
      </c>
      <c r="AFU23">
        <v>14</v>
      </c>
      <c r="AFV23">
        <v>0</v>
      </c>
      <c r="AFW23">
        <v>0</v>
      </c>
      <c r="AFX23">
        <v>6</v>
      </c>
      <c r="AFY23">
        <v>510</v>
      </c>
      <c r="AFZ23">
        <v>537</v>
      </c>
      <c r="AGA23">
        <v>0</v>
      </c>
      <c r="AGB23">
        <v>38</v>
      </c>
      <c r="AGC23">
        <v>6</v>
      </c>
      <c r="AGD23" t="s">
        <v>1678</v>
      </c>
      <c r="AGE23">
        <v>11</v>
      </c>
      <c r="AGF23" t="s">
        <v>1678</v>
      </c>
      <c r="AGG23">
        <v>4</v>
      </c>
      <c r="AGH23">
        <v>37</v>
      </c>
      <c r="AGI23">
        <v>6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2.2200000000000002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4</v>
      </c>
      <c r="AHB23">
        <v>2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1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2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3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7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1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1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6</v>
      </c>
      <c r="ANV23">
        <v>0</v>
      </c>
      <c r="ANW23">
        <v>0</v>
      </c>
      <c r="ANX23">
        <v>1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1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6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3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100</v>
      </c>
      <c r="AVO23">
        <v>9</v>
      </c>
      <c r="AVP23">
        <v>16</v>
      </c>
      <c r="AVQ23">
        <v>1</v>
      </c>
      <c r="AVR23">
        <v>0</v>
      </c>
      <c r="AVS23">
        <v>1</v>
      </c>
      <c r="AVT23">
        <v>6</v>
      </c>
      <c r="AVU23">
        <v>1</v>
      </c>
      <c r="AVV23">
        <v>0</v>
      </c>
      <c r="AVW23">
        <v>2</v>
      </c>
      <c r="AVX23">
        <v>489</v>
      </c>
      <c r="AVY23">
        <v>537</v>
      </c>
      <c r="AVZ23">
        <v>1</v>
      </c>
      <c r="AWA23">
        <v>24</v>
      </c>
      <c r="AWB23">
        <v>3</v>
      </c>
      <c r="AWC23" t="s">
        <v>1680</v>
      </c>
      <c r="AWD23">
        <v>5</v>
      </c>
      <c r="AWE23" t="s">
        <v>1671</v>
      </c>
      <c r="AWF23">
        <v>11</v>
      </c>
      <c r="AWG23">
        <v>33</v>
      </c>
      <c r="AWH23">
        <v>2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0.56000000000000005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1</v>
      </c>
      <c r="AXA23">
        <v>2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1</v>
      </c>
      <c r="AYU23">
        <v>1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1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2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1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1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3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3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1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3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2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2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</row>
    <row r="24" spans="1:1675" x14ac:dyDescent="0.2">
      <c r="A24">
        <v>2</v>
      </c>
      <c r="B24">
        <v>6</v>
      </c>
      <c r="C24">
        <f t="shared" si="0"/>
        <v>77</v>
      </c>
      <c r="D24">
        <f t="shared" si="3"/>
        <v>939</v>
      </c>
      <c r="E24">
        <f t="shared" si="4"/>
        <v>23</v>
      </c>
      <c r="F24">
        <f t="shared" si="2"/>
        <v>10</v>
      </c>
      <c r="G24">
        <f t="shared" si="5"/>
        <v>2</v>
      </c>
      <c r="H24" cm="1">
        <f t="array" ref="H24">_xlfn.IFS(P24=0, 1, P24=7, 2, P24=5, 3)</f>
        <v>1</v>
      </c>
      <c r="I24" cm="1">
        <f t="array" ref="I24">_xlfn.IFS(H24=1, IF(AC24=0, P24, PO24), H24=2, IF(AC24=0, P24, AFN24), H24=3, IF(AC24=0, P24, AVM24))</f>
        <v>1</v>
      </c>
      <c r="J24" cm="1">
        <f t="array" ref="J24">_xlfn.IFS(I24=0, 1, I24=1, 0, I24=2, 7, I24=7, 2, I24=5, 6, I24=6, 5)</f>
        <v>0</v>
      </c>
      <c r="K24" t="str" cm="1">
        <f t="array" ref="K24">_xlfn.IFNA(_xlfn.IFS(P24&lt;&gt;P25, 1, A24&lt;&gt;A25, IF(P25=P24, 1)), "")</f>
        <v/>
      </c>
      <c r="L24" t="str">
        <f t="shared" si="1"/>
        <v/>
      </c>
      <c r="M24" t="s">
        <v>1732</v>
      </c>
      <c r="N24" t="s">
        <v>1699</v>
      </c>
      <c r="P24">
        <v>0</v>
      </c>
      <c r="Q24">
        <v>46</v>
      </c>
      <c r="R24">
        <v>20</v>
      </c>
      <c r="S24">
        <v>13</v>
      </c>
      <c r="T24">
        <v>6</v>
      </c>
      <c r="U24">
        <v>0</v>
      </c>
      <c r="V24">
        <v>0</v>
      </c>
      <c r="W24">
        <v>19</v>
      </c>
      <c r="X24">
        <v>0</v>
      </c>
      <c r="Y24">
        <v>1</v>
      </c>
      <c r="Z24">
        <v>0</v>
      </c>
      <c r="AA24">
        <v>416</v>
      </c>
      <c r="AB24">
        <v>455</v>
      </c>
      <c r="AC24">
        <v>1</v>
      </c>
      <c r="AD24">
        <v>52</v>
      </c>
      <c r="AE24">
        <v>6</v>
      </c>
      <c r="AF24" t="s">
        <v>1680</v>
      </c>
      <c r="AG24">
        <v>12</v>
      </c>
      <c r="AH24" t="s">
        <v>1680</v>
      </c>
      <c r="AI24">
        <v>8</v>
      </c>
      <c r="AJ24">
        <v>17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6</v>
      </c>
      <c r="BD24">
        <v>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5</v>
      </c>
      <c r="FC24">
        <v>0</v>
      </c>
      <c r="FD24">
        <v>0</v>
      </c>
      <c r="FE24">
        <v>0</v>
      </c>
      <c r="FF24">
        <v>0</v>
      </c>
      <c r="FG24">
        <v>2</v>
      </c>
      <c r="FH24">
        <v>0</v>
      </c>
      <c r="FI24">
        <v>6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</v>
      </c>
      <c r="HT24">
        <v>0</v>
      </c>
      <c r="HU24">
        <v>0</v>
      </c>
      <c r="HV24">
        <v>0</v>
      </c>
      <c r="HW24">
        <v>5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3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1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1</v>
      </c>
      <c r="PP24">
        <v>66</v>
      </c>
      <c r="PQ24">
        <v>20</v>
      </c>
      <c r="PR24">
        <v>18</v>
      </c>
      <c r="PS24">
        <v>3</v>
      </c>
      <c r="PT24">
        <v>0</v>
      </c>
      <c r="PU24">
        <v>0</v>
      </c>
      <c r="PV24">
        <v>15</v>
      </c>
      <c r="PW24">
        <v>0</v>
      </c>
      <c r="PX24">
        <v>5</v>
      </c>
      <c r="PY24">
        <v>0</v>
      </c>
      <c r="PZ24">
        <v>402</v>
      </c>
      <c r="QA24">
        <v>455</v>
      </c>
      <c r="QB24">
        <v>0</v>
      </c>
      <c r="QC24">
        <v>46</v>
      </c>
      <c r="QD24">
        <v>3</v>
      </c>
      <c r="QE24" t="s">
        <v>1678</v>
      </c>
      <c r="QF24">
        <v>12</v>
      </c>
      <c r="QG24" t="s">
        <v>1676</v>
      </c>
      <c r="QH24">
        <v>12</v>
      </c>
      <c r="QI24">
        <v>13</v>
      </c>
      <c r="QJ24">
        <v>4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1.1100000000000001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3</v>
      </c>
      <c r="RC24">
        <v>5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1</v>
      </c>
      <c r="SW24">
        <v>1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2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1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1</v>
      </c>
      <c r="VB24">
        <v>0</v>
      </c>
      <c r="VC24">
        <v>0</v>
      </c>
      <c r="VD24">
        <v>0</v>
      </c>
      <c r="VE24">
        <v>0</v>
      </c>
      <c r="VF24">
        <v>2</v>
      </c>
      <c r="VG24">
        <v>0</v>
      </c>
      <c r="VH24">
        <v>2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6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1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4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1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8</v>
      </c>
      <c r="XW24">
        <v>0</v>
      </c>
      <c r="XX24">
        <v>0</v>
      </c>
      <c r="XY24">
        <v>4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1</v>
      </c>
      <c r="ZD24">
        <v>0</v>
      </c>
      <c r="ZE24">
        <v>1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1</v>
      </c>
      <c r="AFO24">
        <v>84</v>
      </c>
      <c r="AFP24">
        <v>11</v>
      </c>
      <c r="AFQ24">
        <v>17</v>
      </c>
      <c r="AFR24">
        <v>4</v>
      </c>
      <c r="AFS24">
        <v>0</v>
      </c>
      <c r="AFT24">
        <v>0</v>
      </c>
      <c r="AFU24">
        <v>6</v>
      </c>
      <c r="AFV24">
        <v>1</v>
      </c>
      <c r="AFW24">
        <v>3</v>
      </c>
      <c r="AFX24">
        <v>1</v>
      </c>
      <c r="AFY24">
        <v>404</v>
      </c>
      <c r="AFZ24">
        <v>455</v>
      </c>
      <c r="AGA24">
        <v>0</v>
      </c>
      <c r="AGB24">
        <v>36</v>
      </c>
      <c r="AGC24">
        <v>4</v>
      </c>
      <c r="AGD24" t="s">
        <v>1678</v>
      </c>
      <c r="AGE24">
        <v>6</v>
      </c>
      <c r="AGF24" t="s">
        <v>1678</v>
      </c>
      <c r="AGG24">
        <v>9</v>
      </c>
      <c r="AGH24">
        <v>75</v>
      </c>
      <c r="AGI24">
        <v>3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0.65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4</v>
      </c>
      <c r="AHB24">
        <v>4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2</v>
      </c>
      <c r="AIV24">
        <v>3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2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1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1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1</v>
      </c>
      <c r="ALA24">
        <v>0</v>
      </c>
      <c r="ALB24">
        <v>0</v>
      </c>
      <c r="ALC24">
        <v>0</v>
      </c>
      <c r="ALD24">
        <v>0</v>
      </c>
      <c r="ALE24">
        <v>1</v>
      </c>
      <c r="ALF24">
        <v>0</v>
      </c>
      <c r="ALG24">
        <v>1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3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1</v>
      </c>
      <c r="AMO24">
        <v>0</v>
      </c>
      <c r="AMP24">
        <v>0</v>
      </c>
      <c r="AMQ24">
        <v>0</v>
      </c>
      <c r="AMR24">
        <v>0</v>
      </c>
      <c r="AMS24">
        <v>3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1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1</v>
      </c>
      <c r="ANR24">
        <v>0</v>
      </c>
      <c r="ANS24">
        <v>0</v>
      </c>
      <c r="ANT24">
        <v>0</v>
      </c>
      <c r="ANU24">
        <v>4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3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92</v>
      </c>
      <c r="AVO24">
        <v>15</v>
      </c>
      <c r="AVP24">
        <v>18</v>
      </c>
      <c r="AVQ24">
        <v>7</v>
      </c>
      <c r="AVR24">
        <v>0</v>
      </c>
      <c r="AVS24">
        <v>0</v>
      </c>
      <c r="AVT24">
        <v>9</v>
      </c>
      <c r="AVU24">
        <v>0</v>
      </c>
      <c r="AVV24">
        <v>3</v>
      </c>
      <c r="AVW24">
        <v>3</v>
      </c>
      <c r="AVX24">
        <v>401</v>
      </c>
      <c r="AVY24">
        <v>455</v>
      </c>
      <c r="AVZ24">
        <v>1</v>
      </c>
      <c r="AWA24">
        <v>41</v>
      </c>
      <c r="AWB24">
        <v>2</v>
      </c>
      <c r="AWC24" t="s">
        <v>1671</v>
      </c>
      <c r="AWD24">
        <v>9</v>
      </c>
      <c r="AWE24" t="s">
        <v>1680</v>
      </c>
      <c r="AWF24">
        <v>12</v>
      </c>
      <c r="AWG24">
        <v>75</v>
      </c>
      <c r="AWH24">
        <v>3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0.83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7</v>
      </c>
      <c r="AXA24">
        <v>3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1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1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1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1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2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2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3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3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1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2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3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6</v>
      </c>
      <c r="BDU24">
        <v>0</v>
      </c>
      <c r="BDV24">
        <v>0</v>
      </c>
      <c r="BDW24">
        <v>2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1</v>
      </c>
      <c r="BFR24">
        <v>0</v>
      </c>
      <c r="BFS24">
        <v>2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</row>
    <row r="25" spans="1:1675" x14ac:dyDescent="0.2">
      <c r="A25">
        <v>2</v>
      </c>
      <c r="B25">
        <v>6</v>
      </c>
      <c r="C25">
        <f t="shared" si="0"/>
        <v>77</v>
      </c>
      <c r="D25">
        <f t="shared" si="3"/>
        <v>940</v>
      </c>
      <c r="E25">
        <f t="shared" si="4"/>
        <v>24</v>
      </c>
      <c r="F25">
        <f t="shared" si="2"/>
        <v>11</v>
      </c>
      <c r="G25">
        <f t="shared" si="5"/>
        <v>3</v>
      </c>
      <c r="H25" cm="1">
        <f t="array" ref="H25">_xlfn.IFS(P25=0, 1, P25=7, 2, P25=5, 3)</f>
        <v>1</v>
      </c>
      <c r="I25" cm="1">
        <f t="array" ref="I25">_xlfn.IFS(H25=1, IF(AC25=0, P25, PO25), H25=2, IF(AC25=0, P25, AFN25), H25=3, IF(AC25=0, P25, AVM25))</f>
        <v>1</v>
      </c>
      <c r="J25" cm="1">
        <f t="array" ref="J25">_xlfn.IFS(I25=0, 1, I25=1, 0, I25=2, 7, I25=7, 2, I25=5, 6, I25=6, 5)</f>
        <v>0</v>
      </c>
      <c r="K25" cm="1">
        <f t="array" ref="K25">_xlfn.IFNA(_xlfn.IFS(P25&lt;&gt;P26, 1, A25&lt;&gt;A26, IF(P26=P25, 1)), "")</f>
        <v>1</v>
      </c>
      <c r="L25">
        <f t="shared" si="1"/>
        <v>1</v>
      </c>
      <c r="M25" t="s">
        <v>1737</v>
      </c>
      <c r="N25" t="s">
        <v>1700</v>
      </c>
      <c r="P25">
        <v>0</v>
      </c>
      <c r="Q25">
        <v>28</v>
      </c>
      <c r="R25">
        <v>10</v>
      </c>
      <c r="S25">
        <v>20</v>
      </c>
      <c r="T25">
        <v>3</v>
      </c>
      <c r="U25">
        <v>0</v>
      </c>
      <c r="V25">
        <v>0</v>
      </c>
      <c r="W25">
        <v>4</v>
      </c>
      <c r="X25">
        <v>1</v>
      </c>
      <c r="Y25">
        <v>5</v>
      </c>
      <c r="Z25">
        <v>0</v>
      </c>
      <c r="AA25">
        <v>264</v>
      </c>
      <c r="AB25">
        <v>322</v>
      </c>
      <c r="AC25">
        <v>1</v>
      </c>
      <c r="AD25">
        <v>28</v>
      </c>
      <c r="AE25">
        <v>3</v>
      </c>
      <c r="AF25" t="s">
        <v>1680</v>
      </c>
      <c r="AG25">
        <v>8</v>
      </c>
      <c r="AH25" t="s">
        <v>1680</v>
      </c>
      <c r="AI25">
        <v>12</v>
      </c>
      <c r="AJ25">
        <v>75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</v>
      </c>
      <c r="BD25">
        <v>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0</v>
      </c>
      <c r="FI25">
        <v>2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2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5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3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1</v>
      </c>
      <c r="PP25">
        <v>41</v>
      </c>
      <c r="PQ25">
        <v>24</v>
      </c>
      <c r="PR25">
        <v>11</v>
      </c>
      <c r="PS25">
        <v>5</v>
      </c>
      <c r="PT25">
        <v>0</v>
      </c>
      <c r="PU25">
        <v>1</v>
      </c>
      <c r="PV25">
        <v>9</v>
      </c>
      <c r="PW25">
        <v>0</v>
      </c>
      <c r="PX25">
        <v>15</v>
      </c>
      <c r="PY25">
        <v>0</v>
      </c>
      <c r="PZ25">
        <v>286</v>
      </c>
      <c r="QA25">
        <v>322</v>
      </c>
      <c r="QB25">
        <v>0</v>
      </c>
      <c r="QC25">
        <v>52</v>
      </c>
      <c r="QD25">
        <v>5</v>
      </c>
      <c r="QE25" t="s">
        <v>1678</v>
      </c>
      <c r="QF25">
        <v>12</v>
      </c>
      <c r="QG25" t="s">
        <v>1676</v>
      </c>
      <c r="QH25">
        <v>8</v>
      </c>
      <c r="QI25">
        <v>27</v>
      </c>
      <c r="QJ25">
        <v>7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2.1800000000000002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4</v>
      </c>
      <c r="RC25">
        <v>4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1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2</v>
      </c>
      <c r="SW25">
        <v>1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1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2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4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2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1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5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4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4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7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7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1</v>
      </c>
      <c r="AFO25">
        <v>109</v>
      </c>
      <c r="AFP25">
        <v>19</v>
      </c>
      <c r="AFQ25">
        <v>11</v>
      </c>
      <c r="AFR25">
        <v>7</v>
      </c>
      <c r="AFS25">
        <v>0</v>
      </c>
      <c r="AFT25">
        <v>0</v>
      </c>
      <c r="AFU25">
        <v>12</v>
      </c>
      <c r="AFV25">
        <v>1</v>
      </c>
      <c r="AFW25">
        <v>6</v>
      </c>
      <c r="AFX25">
        <v>0</v>
      </c>
      <c r="AFY25">
        <v>289</v>
      </c>
      <c r="AFZ25">
        <v>322</v>
      </c>
      <c r="AGA25">
        <v>0</v>
      </c>
      <c r="AGB25">
        <v>54</v>
      </c>
      <c r="AGC25">
        <v>6</v>
      </c>
      <c r="AGD25" t="s">
        <v>1678</v>
      </c>
      <c r="AGE25">
        <v>11</v>
      </c>
      <c r="AGF25" t="s">
        <v>1678</v>
      </c>
      <c r="AGG25">
        <v>9</v>
      </c>
      <c r="AGH25">
        <v>27</v>
      </c>
      <c r="AGI25">
        <v>6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1.73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7</v>
      </c>
      <c r="AHB25">
        <v>3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1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3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4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2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1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4</v>
      </c>
      <c r="ALA25">
        <v>0</v>
      </c>
      <c r="ALB25">
        <v>0</v>
      </c>
      <c r="ALC25">
        <v>0</v>
      </c>
      <c r="ALD25">
        <v>0</v>
      </c>
      <c r="ALE25">
        <v>6</v>
      </c>
      <c r="ALF25">
        <v>0</v>
      </c>
      <c r="ALG25">
        <v>2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5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2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1</v>
      </c>
      <c r="AMM25">
        <v>0</v>
      </c>
      <c r="AMN25">
        <v>1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5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6</v>
      </c>
      <c r="APE25">
        <v>1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34</v>
      </c>
      <c r="AVO25">
        <v>11</v>
      </c>
      <c r="AVP25">
        <v>23</v>
      </c>
      <c r="AVQ25">
        <v>6</v>
      </c>
      <c r="AVR25">
        <v>0</v>
      </c>
      <c r="AVS25">
        <v>0</v>
      </c>
      <c r="AVT25">
        <v>7</v>
      </c>
      <c r="AVU25">
        <v>0</v>
      </c>
      <c r="AVV25">
        <v>4</v>
      </c>
      <c r="AVW25">
        <v>0</v>
      </c>
      <c r="AVX25">
        <v>254</v>
      </c>
      <c r="AVY25">
        <v>322</v>
      </c>
      <c r="AVZ25">
        <v>1</v>
      </c>
      <c r="AWA25">
        <v>29</v>
      </c>
      <c r="AWB25">
        <v>2</v>
      </c>
      <c r="AWC25" t="s">
        <v>1671</v>
      </c>
      <c r="AWD25">
        <v>9</v>
      </c>
      <c r="AWE25" t="s">
        <v>1680</v>
      </c>
      <c r="AWF25">
        <v>12</v>
      </c>
      <c r="AWG25">
        <v>13</v>
      </c>
      <c r="AWH25">
        <v>2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0.48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5</v>
      </c>
      <c r="AXA25">
        <v>2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1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2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1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2</v>
      </c>
      <c r="BAX25">
        <v>0</v>
      </c>
      <c r="BAY25">
        <v>1</v>
      </c>
      <c r="BAZ25">
        <v>0</v>
      </c>
      <c r="BBA25">
        <v>0</v>
      </c>
      <c r="BBB25">
        <v>0</v>
      </c>
      <c r="BBC25">
        <v>0</v>
      </c>
      <c r="BBD25">
        <v>2</v>
      </c>
      <c r="BBE25">
        <v>0</v>
      </c>
      <c r="BBF25">
        <v>2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3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1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2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3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1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1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</row>
    <row r="26" spans="1:1675" x14ac:dyDescent="0.2">
      <c r="A26">
        <v>3</v>
      </c>
      <c r="B26">
        <v>6</v>
      </c>
      <c r="C26">
        <f t="shared" si="0"/>
        <v>78</v>
      </c>
      <c r="D26">
        <f t="shared" si="3"/>
        <v>941</v>
      </c>
      <c r="E26">
        <f t="shared" si="4"/>
        <v>25</v>
      </c>
      <c r="F26">
        <f t="shared" si="2"/>
        <v>1</v>
      </c>
      <c r="G26">
        <f t="shared" si="5"/>
        <v>1</v>
      </c>
      <c r="H26" cm="1">
        <f t="array" ref="H26">_xlfn.IFS(P26=0, 1, P26=7, 2, P26=5, 3)</f>
        <v>1</v>
      </c>
      <c r="I26" cm="1">
        <f t="array" ref="I26">_xlfn.IFS(H26=1, IF(AC26=0, P26, PO26), H26=2, IF(AC26=0, P26, AFN26), H26=3, IF(AC26=0, P26, AVM26))</f>
        <v>1</v>
      </c>
      <c r="J26" cm="1">
        <f t="array" ref="J26">_xlfn.IFS(I26=0, 1, I26=1, 0, I26=2, 7, I26=7, 2, I26=5, 6, I26=6, 5)</f>
        <v>0</v>
      </c>
      <c r="K26" t="str" cm="1">
        <f t="array" ref="K26">_xlfn.IFNA(_xlfn.IFS(P26&lt;&gt;P27, 1, A26&lt;&gt;A27, IF(P27=P26, 1)), "")</f>
        <v/>
      </c>
      <c r="L26" t="str">
        <f t="shared" si="1"/>
        <v/>
      </c>
      <c r="M26" t="s">
        <v>1731</v>
      </c>
      <c r="N26" t="s">
        <v>1701</v>
      </c>
      <c r="P26">
        <v>0</v>
      </c>
      <c r="Q26">
        <v>25</v>
      </c>
      <c r="R26">
        <v>17</v>
      </c>
      <c r="S26">
        <v>18</v>
      </c>
      <c r="T26">
        <v>2</v>
      </c>
      <c r="U26">
        <v>0</v>
      </c>
      <c r="V26">
        <v>0</v>
      </c>
      <c r="W26">
        <v>11</v>
      </c>
      <c r="X26">
        <v>0</v>
      </c>
      <c r="Y26">
        <v>6</v>
      </c>
      <c r="Z26">
        <v>0</v>
      </c>
      <c r="AA26">
        <v>332</v>
      </c>
      <c r="AB26">
        <v>386</v>
      </c>
      <c r="AC26">
        <v>1</v>
      </c>
      <c r="AD26">
        <v>37</v>
      </c>
      <c r="AE26">
        <v>3</v>
      </c>
      <c r="AF26" t="s">
        <v>1680</v>
      </c>
      <c r="AG26">
        <v>10</v>
      </c>
      <c r="AH26" t="s">
        <v>1671</v>
      </c>
      <c r="AI26">
        <v>9</v>
      </c>
      <c r="AJ26">
        <v>75</v>
      </c>
      <c r="AK26">
        <v>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0.94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5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0</v>
      </c>
      <c r="HV26">
        <v>0</v>
      </c>
      <c r="HW26">
        <v>6</v>
      </c>
      <c r="HX26">
        <v>0</v>
      </c>
      <c r="HY26">
        <v>0</v>
      </c>
      <c r="HZ26">
        <v>4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1</v>
      </c>
      <c r="PP26">
        <v>53</v>
      </c>
      <c r="PQ26">
        <v>20</v>
      </c>
      <c r="PR26">
        <v>15</v>
      </c>
      <c r="PS26">
        <v>4</v>
      </c>
      <c r="PT26">
        <v>0</v>
      </c>
      <c r="PU26">
        <v>0</v>
      </c>
      <c r="PV26">
        <v>17</v>
      </c>
      <c r="PW26">
        <v>0</v>
      </c>
      <c r="PX26">
        <v>3</v>
      </c>
      <c r="PY26">
        <v>0</v>
      </c>
      <c r="PZ26">
        <v>341</v>
      </c>
      <c r="QA26">
        <v>386</v>
      </c>
      <c r="QB26">
        <v>0</v>
      </c>
      <c r="QC26">
        <v>43</v>
      </c>
      <c r="QD26">
        <v>4</v>
      </c>
      <c r="QE26" t="s">
        <v>1678</v>
      </c>
      <c r="QF26">
        <v>11</v>
      </c>
      <c r="QG26" t="s">
        <v>1676</v>
      </c>
      <c r="QH26">
        <v>10</v>
      </c>
      <c r="QI26">
        <v>13</v>
      </c>
      <c r="QJ26">
        <v>6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1.33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4</v>
      </c>
      <c r="RC26">
        <v>2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1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3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1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3</v>
      </c>
      <c r="VG26">
        <v>0</v>
      </c>
      <c r="VH26">
        <v>2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8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1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2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6</v>
      </c>
      <c r="XW26">
        <v>0</v>
      </c>
      <c r="XX26">
        <v>0</v>
      </c>
      <c r="XY26">
        <v>1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5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1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1</v>
      </c>
      <c r="AFO26">
        <v>97</v>
      </c>
      <c r="AFP26">
        <v>16</v>
      </c>
      <c r="AFQ26">
        <v>10</v>
      </c>
      <c r="AFR26">
        <v>5</v>
      </c>
      <c r="AFS26">
        <v>1</v>
      </c>
      <c r="AFT26">
        <v>0</v>
      </c>
      <c r="AFU26">
        <v>13</v>
      </c>
      <c r="AFV26">
        <v>0</v>
      </c>
      <c r="AFW26">
        <v>3</v>
      </c>
      <c r="AFX26">
        <v>0</v>
      </c>
      <c r="AFY26">
        <v>353</v>
      </c>
      <c r="AFZ26">
        <v>386</v>
      </c>
      <c r="AGA26">
        <v>0</v>
      </c>
      <c r="AGB26">
        <v>39</v>
      </c>
      <c r="AGC26">
        <v>6</v>
      </c>
      <c r="AGD26" t="s">
        <v>1676</v>
      </c>
      <c r="AGE26">
        <v>9</v>
      </c>
      <c r="AGF26" t="s">
        <v>1676</v>
      </c>
      <c r="AGG26">
        <v>7</v>
      </c>
      <c r="AGH26">
        <v>18</v>
      </c>
      <c r="AGI26">
        <v>4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1.6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5</v>
      </c>
      <c r="AHB26">
        <v>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4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3</v>
      </c>
      <c r="AIV26">
        <v>1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1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1</v>
      </c>
      <c r="AJO26">
        <v>1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2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2</v>
      </c>
      <c r="AKY26">
        <v>0</v>
      </c>
      <c r="AKZ26">
        <v>1</v>
      </c>
      <c r="ALA26">
        <v>0</v>
      </c>
      <c r="ALB26">
        <v>0</v>
      </c>
      <c r="ALC26">
        <v>0</v>
      </c>
      <c r="ALD26">
        <v>0</v>
      </c>
      <c r="ALE26">
        <v>3</v>
      </c>
      <c r="ALF26">
        <v>0</v>
      </c>
      <c r="ALG26">
        <v>2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1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1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1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2</v>
      </c>
      <c r="ANV26">
        <v>0</v>
      </c>
      <c r="ANW26">
        <v>0</v>
      </c>
      <c r="ANX26">
        <v>4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1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54</v>
      </c>
      <c r="AVO26">
        <v>7</v>
      </c>
      <c r="AVP26">
        <v>19</v>
      </c>
      <c r="AVQ26">
        <v>7</v>
      </c>
      <c r="AVR26">
        <v>0</v>
      </c>
      <c r="AVS26">
        <v>1</v>
      </c>
      <c r="AVT26">
        <v>6</v>
      </c>
      <c r="AVU26">
        <v>0</v>
      </c>
      <c r="AVV26">
        <v>1</v>
      </c>
      <c r="AVW26">
        <v>0</v>
      </c>
      <c r="AVX26">
        <v>327</v>
      </c>
      <c r="AVY26">
        <v>386</v>
      </c>
      <c r="AVZ26">
        <v>1</v>
      </c>
      <c r="AWA26">
        <v>23</v>
      </c>
      <c r="AWB26">
        <v>2</v>
      </c>
      <c r="AWC26" t="s">
        <v>1680</v>
      </c>
      <c r="AWD26">
        <v>4</v>
      </c>
      <c r="AWE26" t="s">
        <v>1680</v>
      </c>
      <c r="AWF26">
        <v>11</v>
      </c>
      <c r="AWG26">
        <v>13</v>
      </c>
      <c r="AWH26">
        <v>3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0.37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7</v>
      </c>
      <c r="AXA26">
        <v>1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1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2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2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1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1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3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1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4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</row>
    <row r="27" spans="1:1675" x14ac:dyDescent="0.2">
      <c r="A27">
        <v>3</v>
      </c>
      <c r="B27">
        <v>6</v>
      </c>
      <c r="C27">
        <f t="shared" si="0"/>
        <v>78</v>
      </c>
      <c r="D27">
        <f t="shared" si="3"/>
        <v>942</v>
      </c>
      <c r="E27">
        <f t="shared" si="4"/>
        <v>26</v>
      </c>
      <c r="F27">
        <f t="shared" si="2"/>
        <v>2</v>
      </c>
      <c r="G27">
        <f t="shared" si="5"/>
        <v>2</v>
      </c>
      <c r="H27" cm="1">
        <f t="array" ref="H27">_xlfn.IFS(P27=0, 1, P27=7, 2, P27=5, 3)</f>
        <v>1</v>
      </c>
      <c r="I27" cm="1">
        <f t="array" ref="I27">_xlfn.IFS(H27=1, IF(AC27=0, P27, PO27), H27=2, IF(AC27=0, P27, AFN27), H27=3, IF(AC27=0, P27, AVM27))</f>
        <v>0</v>
      </c>
      <c r="J27" cm="1">
        <f t="array" ref="J27">_xlfn.IFS(I27=0, 1, I27=1, 0, I27=2, 7, I27=7, 2, I27=5, 6, I27=6, 5)</f>
        <v>1</v>
      </c>
      <c r="K27" t="str" cm="1">
        <f t="array" ref="K27">_xlfn.IFNA(_xlfn.IFS(P27&lt;&gt;P28, 1, A27&lt;&gt;A28, IF(P28=P27, 1)), "")</f>
        <v/>
      </c>
      <c r="L27" t="str">
        <f t="shared" si="1"/>
        <v/>
      </c>
      <c r="M27" t="s">
        <v>1743</v>
      </c>
      <c r="N27" t="s">
        <v>1702</v>
      </c>
      <c r="P27">
        <v>0</v>
      </c>
      <c r="Q27">
        <v>57</v>
      </c>
      <c r="R27">
        <v>25</v>
      </c>
      <c r="S27">
        <v>14</v>
      </c>
      <c r="T27">
        <v>4</v>
      </c>
      <c r="U27">
        <v>0</v>
      </c>
      <c r="V27">
        <v>0</v>
      </c>
      <c r="W27">
        <v>16</v>
      </c>
      <c r="X27">
        <v>4</v>
      </c>
      <c r="Y27">
        <v>3</v>
      </c>
      <c r="Z27">
        <v>2</v>
      </c>
      <c r="AA27">
        <v>457</v>
      </c>
      <c r="AB27">
        <v>498</v>
      </c>
      <c r="AC27">
        <v>0</v>
      </c>
      <c r="AD27">
        <v>56</v>
      </c>
      <c r="AE27">
        <v>4</v>
      </c>
      <c r="AF27" t="s">
        <v>1671</v>
      </c>
      <c r="AG27">
        <v>13</v>
      </c>
      <c r="AH27" t="s">
        <v>1680</v>
      </c>
      <c r="AI27">
        <v>9</v>
      </c>
      <c r="AJ27">
        <v>20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4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4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</v>
      </c>
      <c r="FC27">
        <v>0</v>
      </c>
      <c r="FD27">
        <v>0</v>
      </c>
      <c r="FE27">
        <v>0</v>
      </c>
      <c r="FF27">
        <v>0</v>
      </c>
      <c r="FG27">
        <v>4</v>
      </c>
      <c r="FH27">
        <v>0</v>
      </c>
      <c r="FI27">
        <v>6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5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1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1</v>
      </c>
      <c r="HT27">
        <v>0</v>
      </c>
      <c r="HU27">
        <v>0</v>
      </c>
      <c r="HV27">
        <v>0</v>
      </c>
      <c r="HW27">
        <v>5</v>
      </c>
      <c r="HX27">
        <v>0</v>
      </c>
      <c r="HY27">
        <v>0</v>
      </c>
      <c r="HZ27">
        <v>2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2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1</v>
      </c>
      <c r="PP27">
        <v>68</v>
      </c>
      <c r="PQ27">
        <v>17</v>
      </c>
      <c r="PR27">
        <v>20</v>
      </c>
      <c r="PS27">
        <v>7</v>
      </c>
      <c r="PT27">
        <v>0</v>
      </c>
      <c r="PU27">
        <v>0</v>
      </c>
      <c r="PV27">
        <v>8</v>
      </c>
      <c r="PW27">
        <v>2</v>
      </c>
      <c r="PX27">
        <v>7</v>
      </c>
      <c r="PY27">
        <v>0</v>
      </c>
      <c r="PZ27">
        <v>439</v>
      </c>
      <c r="QA27">
        <v>498</v>
      </c>
      <c r="QB27">
        <v>1</v>
      </c>
      <c r="QC27">
        <v>44</v>
      </c>
      <c r="QD27">
        <v>4</v>
      </c>
      <c r="QE27" t="s">
        <v>1676</v>
      </c>
      <c r="QF27">
        <v>9</v>
      </c>
      <c r="QG27" t="s">
        <v>1676</v>
      </c>
      <c r="QH27">
        <v>12</v>
      </c>
      <c r="QI27">
        <v>27</v>
      </c>
      <c r="QJ27">
        <v>5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0.85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7</v>
      </c>
      <c r="RC27">
        <v>3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2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2</v>
      </c>
      <c r="SL27">
        <v>1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2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2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1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1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3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2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1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1</v>
      </c>
      <c r="XS27">
        <v>0</v>
      </c>
      <c r="XT27">
        <v>0</v>
      </c>
      <c r="XU27">
        <v>0</v>
      </c>
      <c r="XV27">
        <v>7</v>
      </c>
      <c r="XW27">
        <v>0</v>
      </c>
      <c r="XX27">
        <v>0</v>
      </c>
      <c r="XY27">
        <v>2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1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5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1</v>
      </c>
      <c r="AFO27">
        <v>78</v>
      </c>
      <c r="AFP27">
        <v>15</v>
      </c>
      <c r="AFQ27">
        <v>19</v>
      </c>
      <c r="AFR27">
        <v>5</v>
      </c>
      <c r="AFS27">
        <v>0</v>
      </c>
      <c r="AFT27">
        <v>0</v>
      </c>
      <c r="AFU27">
        <v>10</v>
      </c>
      <c r="AFV27">
        <v>4</v>
      </c>
      <c r="AFW27">
        <v>0</v>
      </c>
      <c r="AFX27">
        <v>1</v>
      </c>
      <c r="AFY27">
        <v>443</v>
      </c>
      <c r="AFZ27">
        <v>498</v>
      </c>
      <c r="AGA27">
        <v>1</v>
      </c>
      <c r="AGB27">
        <v>42</v>
      </c>
      <c r="AGC27">
        <v>4</v>
      </c>
      <c r="AGD27" t="s">
        <v>1678</v>
      </c>
      <c r="AGE27">
        <v>10</v>
      </c>
      <c r="AGF27" t="s">
        <v>1676</v>
      </c>
      <c r="AGG27">
        <v>13</v>
      </c>
      <c r="AGH27">
        <v>20</v>
      </c>
      <c r="AGI27">
        <v>3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0.79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5</v>
      </c>
      <c r="AHB27">
        <v>4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1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3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2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3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3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4</v>
      </c>
      <c r="ALF27">
        <v>0</v>
      </c>
      <c r="ALG27">
        <v>6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3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1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1</v>
      </c>
      <c r="ANR27">
        <v>0</v>
      </c>
      <c r="ANS27">
        <v>0</v>
      </c>
      <c r="ANT27">
        <v>0</v>
      </c>
      <c r="ANU27">
        <v>2</v>
      </c>
      <c r="ANV27">
        <v>0</v>
      </c>
      <c r="ANW27">
        <v>0</v>
      </c>
      <c r="ANX27">
        <v>2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2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93</v>
      </c>
      <c r="AVO27">
        <v>14</v>
      </c>
      <c r="AVP27">
        <v>18</v>
      </c>
      <c r="AVQ27">
        <v>5</v>
      </c>
      <c r="AVR27">
        <v>0</v>
      </c>
      <c r="AVS27">
        <v>0</v>
      </c>
      <c r="AVT27">
        <v>6</v>
      </c>
      <c r="AVU27">
        <v>3</v>
      </c>
      <c r="AVV27">
        <v>4</v>
      </c>
      <c r="AVW27">
        <v>1</v>
      </c>
      <c r="AVX27">
        <v>444</v>
      </c>
      <c r="AVY27">
        <v>498</v>
      </c>
      <c r="AVZ27">
        <v>0</v>
      </c>
      <c r="AWA27">
        <v>35</v>
      </c>
      <c r="AWB27">
        <v>4</v>
      </c>
      <c r="AWC27" t="s">
        <v>1680</v>
      </c>
      <c r="AWD27">
        <v>8</v>
      </c>
      <c r="AWE27" t="s">
        <v>1671</v>
      </c>
      <c r="AWF27">
        <v>10</v>
      </c>
      <c r="AWG27">
        <v>13</v>
      </c>
      <c r="AWH27">
        <v>3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0.78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4</v>
      </c>
      <c r="AXA27">
        <v>4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1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1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2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3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1</v>
      </c>
      <c r="BAZ27">
        <v>0</v>
      </c>
      <c r="BBA27">
        <v>0</v>
      </c>
      <c r="BBB27">
        <v>0</v>
      </c>
      <c r="BBC27">
        <v>0</v>
      </c>
      <c r="BBD27">
        <v>1</v>
      </c>
      <c r="BBE27">
        <v>0</v>
      </c>
      <c r="BBF27">
        <v>3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6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3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5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1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</row>
    <row r="28" spans="1:1675" x14ac:dyDescent="0.2">
      <c r="A28">
        <v>3</v>
      </c>
      <c r="B28">
        <v>6</v>
      </c>
      <c r="C28">
        <f t="shared" si="0"/>
        <v>78</v>
      </c>
      <c r="D28">
        <f t="shared" si="3"/>
        <v>943</v>
      </c>
      <c r="E28">
        <f t="shared" si="4"/>
        <v>27</v>
      </c>
      <c r="F28">
        <f t="shared" si="2"/>
        <v>3</v>
      </c>
      <c r="G28">
        <f t="shared" si="5"/>
        <v>3</v>
      </c>
      <c r="H28" cm="1">
        <f t="array" ref="H28">_xlfn.IFS(P28=0, 1, P28=7, 2, P28=5, 3)</f>
        <v>1</v>
      </c>
      <c r="I28" cm="1">
        <f t="array" ref="I28">_xlfn.IFS(H28=1, IF(AC28=0, P28, PO28), H28=2, IF(AC28=0, P28, AFN28), H28=3, IF(AC28=0, P28, AVM28))</f>
        <v>1</v>
      </c>
      <c r="J28" cm="1">
        <f t="array" ref="J28">_xlfn.IFS(I28=0, 1, I28=1, 0, I28=2, 7, I28=7, 2, I28=5, 6, I28=6, 5)</f>
        <v>0</v>
      </c>
      <c r="K28" t="str" cm="1">
        <f t="array" ref="K28">_xlfn.IFNA(_xlfn.IFS(P28&lt;&gt;P29, 1, A28&lt;&gt;A29, IF(P29=P28, 1)), "")</f>
        <v/>
      </c>
      <c r="L28" t="str">
        <f t="shared" si="1"/>
        <v/>
      </c>
      <c r="M28" t="s">
        <v>1744</v>
      </c>
      <c r="N28" t="s">
        <v>1703</v>
      </c>
      <c r="P28">
        <v>0</v>
      </c>
      <c r="Q28">
        <v>65</v>
      </c>
      <c r="R28">
        <v>28</v>
      </c>
      <c r="S28">
        <v>17</v>
      </c>
      <c r="T28">
        <v>3</v>
      </c>
      <c r="U28">
        <v>0</v>
      </c>
      <c r="V28">
        <v>0</v>
      </c>
      <c r="W28">
        <v>19</v>
      </c>
      <c r="X28">
        <v>5</v>
      </c>
      <c r="Y28">
        <v>3</v>
      </c>
      <c r="Z28">
        <v>1</v>
      </c>
      <c r="AA28">
        <v>382</v>
      </c>
      <c r="AB28">
        <v>431</v>
      </c>
      <c r="AC28">
        <v>1</v>
      </c>
      <c r="AD28">
        <v>79</v>
      </c>
      <c r="AE28">
        <v>7</v>
      </c>
      <c r="AF28" t="s">
        <v>1671</v>
      </c>
      <c r="AG28">
        <v>14</v>
      </c>
      <c r="AH28" t="s">
        <v>1671</v>
      </c>
      <c r="AI28">
        <v>14</v>
      </c>
      <c r="AJ28">
        <v>115</v>
      </c>
      <c r="AK28">
        <v>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1.65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</v>
      </c>
      <c r="BD28">
        <v>11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3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3</v>
      </c>
      <c r="FC28">
        <v>0</v>
      </c>
      <c r="FD28">
        <v>0</v>
      </c>
      <c r="FE28">
        <v>0</v>
      </c>
      <c r="FF28">
        <v>0</v>
      </c>
      <c r="FG28">
        <v>8</v>
      </c>
      <c r="FH28">
        <v>0</v>
      </c>
      <c r="FI28">
        <v>7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2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2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5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2</v>
      </c>
      <c r="HT28">
        <v>0</v>
      </c>
      <c r="HU28">
        <v>0</v>
      </c>
      <c r="HV28">
        <v>0</v>
      </c>
      <c r="HW28">
        <v>5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7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1</v>
      </c>
      <c r="PP28">
        <v>72</v>
      </c>
      <c r="PQ28">
        <v>19</v>
      </c>
      <c r="PR28">
        <v>21</v>
      </c>
      <c r="PS28">
        <v>12</v>
      </c>
      <c r="PT28">
        <v>0</v>
      </c>
      <c r="PU28">
        <v>0</v>
      </c>
      <c r="PV28">
        <v>12</v>
      </c>
      <c r="PW28">
        <v>0</v>
      </c>
      <c r="PX28">
        <v>7</v>
      </c>
      <c r="PY28">
        <v>0</v>
      </c>
      <c r="PZ28">
        <v>369</v>
      </c>
      <c r="QA28">
        <v>431</v>
      </c>
      <c r="QB28">
        <v>0</v>
      </c>
      <c r="QC28">
        <v>46</v>
      </c>
      <c r="QD28">
        <v>3</v>
      </c>
      <c r="QE28" t="s">
        <v>1678</v>
      </c>
      <c r="QF28">
        <v>16</v>
      </c>
      <c r="QG28" t="s">
        <v>1676</v>
      </c>
      <c r="QH28">
        <v>14</v>
      </c>
      <c r="QI28">
        <v>75</v>
      </c>
      <c r="QJ28">
        <v>6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0.9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12</v>
      </c>
      <c r="RC28">
        <v>3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1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1</v>
      </c>
      <c r="SW28">
        <v>1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1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2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1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1</v>
      </c>
      <c r="VG28">
        <v>0</v>
      </c>
      <c r="VH28">
        <v>1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6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1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6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5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4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1</v>
      </c>
      <c r="AFO28">
        <v>78</v>
      </c>
      <c r="AFP28">
        <v>23</v>
      </c>
      <c r="AFQ28">
        <v>18</v>
      </c>
      <c r="AFR28">
        <v>5</v>
      </c>
      <c r="AFS28">
        <v>0</v>
      </c>
      <c r="AFT28">
        <v>0</v>
      </c>
      <c r="AFU28">
        <v>20</v>
      </c>
      <c r="AFV28">
        <v>2</v>
      </c>
      <c r="AFW28">
        <v>0</v>
      </c>
      <c r="AFX28">
        <v>1</v>
      </c>
      <c r="AFY28">
        <v>378</v>
      </c>
      <c r="AFZ28">
        <v>431</v>
      </c>
      <c r="AGA28">
        <v>0</v>
      </c>
      <c r="AGB28">
        <v>62</v>
      </c>
      <c r="AGC28">
        <v>5</v>
      </c>
      <c r="AGD28" t="s">
        <v>1676</v>
      </c>
      <c r="AGE28">
        <v>14</v>
      </c>
      <c r="AGF28" t="s">
        <v>1676</v>
      </c>
      <c r="AGG28">
        <v>14</v>
      </c>
      <c r="AGH28">
        <v>115</v>
      </c>
      <c r="AGI28">
        <v>9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1.28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4</v>
      </c>
      <c r="AHB28">
        <v>6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2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2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1</v>
      </c>
      <c r="AJO28">
        <v>1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3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1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3</v>
      </c>
      <c r="ALF28">
        <v>0</v>
      </c>
      <c r="ALG28">
        <v>5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7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1</v>
      </c>
      <c r="ALZ28">
        <v>0</v>
      </c>
      <c r="AMA28">
        <v>1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1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1</v>
      </c>
      <c r="ANG28">
        <v>0</v>
      </c>
      <c r="ANH28">
        <v>2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2</v>
      </c>
      <c r="ANR28">
        <v>0</v>
      </c>
      <c r="ANS28">
        <v>0</v>
      </c>
      <c r="ANT28">
        <v>0</v>
      </c>
      <c r="ANU28">
        <v>8</v>
      </c>
      <c r="ANV28">
        <v>0</v>
      </c>
      <c r="ANW28">
        <v>0</v>
      </c>
      <c r="ANX28">
        <v>1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9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1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43</v>
      </c>
      <c r="AVO28">
        <v>11</v>
      </c>
      <c r="AVP28">
        <v>25</v>
      </c>
      <c r="AVQ28">
        <v>12</v>
      </c>
      <c r="AVR28">
        <v>0</v>
      </c>
      <c r="AVS28">
        <v>0</v>
      </c>
      <c r="AVT28">
        <v>5</v>
      </c>
      <c r="AVU28">
        <v>1</v>
      </c>
      <c r="AVV28">
        <v>4</v>
      </c>
      <c r="AVW28">
        <v>1</v>
      </c>
      <c r="AVX28">
        <v>358</v>
      </c>
      <c r="AVY28">
        <v>431</v>
      </c>
      <c r="AVZ28">
        <v>1</v>
      </c>
      <c r="AWA28">
        <v>37</v>
      </c>
      <c r="AWB28">
        <v>3</v>
      </c>
      <c r="AWC28" t="s">
        <v>1680</v>
      </c>
      <c r="AWD28">
        <v>7</v>
      </c>
      <c r="AWE28" t="s">
        <v>1680</v>
      </c>
      <c r="AWF28">
        <v>16</v>
      </c>
      <c r="AWG28">
        <v>75</v>
      </c>
      <c r="AWH28">
        <v>4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0.44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12</v>
      </c>
      <c r="AXA28">
        <v>2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3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1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3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2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4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1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5</v>
      </c>
      <c r="BDU28">
        <v>0</v>
      </c>
      <c r="BDV28">
        <v>0</v>
      </c>
      <c r="BDW28">
        <v>3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1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</row>
    <row r="29" spans="1:1675" x14ac:dyDescent="0.2">
      <c r="A29">
        <v>3</v>
      </c>
      <c r="B29">
        <v>6</v>
      </c>
      <c r="C29">
        <f t="shared" si="0"/>
        <v>78</v>
      </c>
      <c r="D29">
        <f t="shared" si="3"/>
        <v>944</v>
      </c>
      <c r="E29">
        <f t="shared" si="4"/>
        <v>28</v>
      </c>
      <c r="F29">
        <f t="shared" si="2"/>
        <v>4</v>
      </c>
      <c r="G29">
        <f t="shared" si="5"/>
        <v>4</v>
      </c>
      <c r="H29" cm="1">
        <f t="array" ref="H29">_xlfn.IFS(P29=0, 1, P29=7, 2, P29=5, 3)</f>
        <v>1</v>
      </c>
      <c r="I29" cm="1">
        <f t="array" ref="I29">_xlfn.IFS(H29=1, IF(AC29=0, P29, PO29), H29=2, IF(AC29=0, P29, AFN29), H29=3, IF(AC29=0, P29, AVM29))</f>
        <v>1</v>
      </c>
      <c r="J29" cm="1">
        <f t="array" ref="J29">_xlfn.IFS(I29=0, 1, I29=1, 0, I29=2, 7, I29=7, 2, I29=5, 6, I29=6, 5)</f>
        <v>0</v>
      </c>
      <c r="K29" cm="1">
        <f t="array" ref="K29">_xlfn.IFNA(_xlfn.IFS(P29&lt;&gt;P30, 1, A29&lt;&gt;A30, IF(P30=P29, 1)), "")</f>
        <v>1</v>
      </c>
      <c r="L29">
        <f t="shared" si="1"/>
        <v>1</v>
      </c>
      <c r="M29" t="s">
        <v>1733</v>
      </c>
      <c r="N29" t="s">
        <v>1704</v>
      </c>
      <c r="P29">
        <v>0</v>
      </c>
      <c r="Q29">
        <v>69</v>
      </c>
      <c r="R29">
        <v>22</v>
      </c>
      <c r="S29">
        <v>20</v>
      </c>
      <c r="T29">
        <v>8</v>
      </c>
      <c r="U29">
        <v>0</v>
      </c>
      <c r="V29">
        <v>0</v>
      </c>
      <c r="W29">
        <v>18</v>
      </c>
      <c r="X29">
        <v>0</v>
      </c>
      <c r="Y29">
        <v>2</v>
      </c>
      <c r="Z29">
        <v>2</v>
      </c>
      <c r="AA29">
        <v>463</v>
      </c>
      <c r="AB29">
        <v>523</v>
      </c>
      <c r="AC29">
        <v>1</v>
      </c>
      <c r="AD29">
        <v>61</v>
      </c>
      <c r="AE29">
        <v>3</v>
      </c>
      <c r="AF29" t="s">
        <v>1680</v>
      </c>
      <c r="AG29">
        <v>12</v>
      </c>
      <c r="AH29" t="s">
        <v>1680</v>
      </c>
      <c r="AI29">
        <v>11</v>
      </c>
      <c r="AJ29">
        <v>13</v>
      </c>
      <c r="AK29">
        <v>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1.1000000000000001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7</v>
      </c>
      <c r="BD29">
        <v>10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3</v>
      </c>
      <c r="FH29">
        <v>0</v>
      </c>
      <c r="FI29">
        <v>6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12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8</v>
      </c>
      <c r="HX29">
        <v>0</v>
      </c>
      <c r="HY29">
        <v>0</v>
      </c>
      <c r="HZ29">
        <v>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1</v>
      </c>
      <c r="PP29">
        <v>74</v>
      </c>
      <c r="PQ29">
        <v>28</v>
      </c>
      <c r="PR29">
        <v>21</v>
      </c>
      <c r="PS29">
        <v>2</v>
      </c>
      <c r="PT29">
        <v>0</v>
      </c>
      <c r="PU29">
        <v>0</v>
      </c>
      <c r="PV29">
        <v>17</v>
      </c>
      <c r="PW29">
        <v>2</v>
      </c>
      <c r="PX29">
        <v>8</v>
      </c>
      <c r="PY29">
        <v>1</v>
      </c>
      <c r="PZ29">
        <v>460</v>
      </c>
      <c r="QA29">
        <v>523</v>
      </c>
      <c r="QB29">
        <v>0</v>
      </c>
      <c r="QC29">
        <v>60</v>
      </c>
      <c r="QD29">
        <v>5</v>
      </c>
      <c r="QE29" t="s">
        <v>1678</v>
      </c>
      <c r="QF29">
        <v>17</v>
      </c>
      <c r="QG29" t="s">
        <v>1676</v>
      </c>
      <c r="QH29">
        <v>12</v>
      </c>
      <c r="QI29">
        <v>18</v>
      </c>
      <c r="QJ29">
        <v>7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1.33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2</v>
      </c>
      <c r="RC29">
        <v>5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1</v>
      </c>
      <c r="SW29">
        <v>2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1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2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3</v>
      </c>
      <c r="VB29">
        <v>0</v>
      </c>
      <c r="VC29">
        <v>0</v>
      </c>
      <c r="VD29">
        <v>0</v>
      </c>
      <c r="VE29">
        <v>0</v>
      </c>
      <c r="VF29">
        <v>5</v>
      </c>
      <c r="VG29">
        <v>0</v>
      </c>
      <c r="VH29">
        <v>6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5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1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1</v>
      </c>
      <c r="WP29">
        <v>0</v>
      </c>
      <c r="WQ29">
        <v>0</v>
      </c>
      <c r="WR29">
        <v>0</v>
      </c>
      <c r="WS29">
        <v>0</v>
      </c>
      <c r="WT29">
        <v>5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1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2</v>
      </c>
      <c r="XS29">
        <v>0</v>
      </c>
      <c r="XT29">
        <v>0</v>
      </c>
      <c r="XU29">
        <v>0</v>
      </c>
      <c r="XV29">
        <v>3</v>
      </c>
      <c r="XW29">
        <v>0</v>
      </c>
      <c r="XX29">
        <v>0</v>
      </c>
      <c r="XY29">
        <v>7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3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3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1</v>
      </c>
      <c r="AFO29">
        <v>76</v>
      </c>
      <c r="AFP29">
        <v>17</v>
      </c>
      <c r="AFQ29">
        <v>21</v>
      </c>
      <c r="AFR29">
        <v>4</v>
      </c>
      <c r="AFS29">
        <v>0</v>
      </c>
      <c r="AFT29">
        <v>0</v>
      </c>
      <c r="AFU29">
        <v>13</v>
      </c>
      <c r="AFV29">
        <v>3</v>
      </c>
      <c r="AFW29">
        <v>1</v>
      </c>
      <c r="AFX29">
        <v>0</v>
      </c>
      <c r="AFY29">
        <v>461</v>
      </c>
      <c r="AFZ29">
        <v>523</v>
      </c>
      <c r="AGA29">
        <v>0</v>
      </c>
      <c r="AGB29">
        <v>44</v>
      </c>
      <c r="AGC29">
        <v>2</v>
      </c>
      <c r="AGD29" t="s">
        <v>1676</v>
      </c>
      <c r="AGE29">
        <v>9</v>
      </c>
      <c r="AGF29" t="s">
        <v>1678</v>
      </c>
      <c r="AGG29">
        <v>11</v>
      </c>
      <c r="AGH29">
        <v>115</v>
      </c>
      <c r="AGI29">
        <v>6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0.81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4</v>
      </c>
      <c r="AHB29">
        <v>5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2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2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1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1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3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2</v>
      </c>
      <c r="ALF29">
        <v>0</v>
      </c>
      <c r="ALG29">
        <v>3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4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1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2</v>
      </c>
      <c r="ANR29">
        <v>0</v>
      </c>
      <c r="ANS29">
        <v>0</v>
      </c>
      <c r="ANT29">
        <v>0</v>
      </c>
      <c r="ANU29">
        <v>5</v>
      </c>
      <c r="ANV29">
        <v>0</v>
      </c>
      <c r="ANW29">
        <v>0</v>
      </c>
      <c r="ANX29">
        <v>1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6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1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57</v>
      </c>
      <c r="AVO29">
        <v>20</v>
      </c>
      <c r="AVP29">
        <v>25</v>
      </c>
      <c r="AVQ29">
        <v>5</v>
      </c>
      <c r="AVR29">
        <v>0</v>
      </c>
      <c r="AVS29">
        <v>0</v>
      </c>
      <c r="AVT29">
        <v>14</v>
      </c>
      <c r="AVU29">
        <v>2</v>
      </c>
      <c r="AVV29">
        <v>3</v>
      </c>
      <c r="AVW29">
        <v>1</v>
      </c>
      <c r="AVX29">
        <v>451</v>
      </c>
      <c r="AVY29">
        <v>523</v>
      </c>
      <c r="AVZ29">
        <v>1</v>
      </c>
      <c r="AWA29">
        <v>47</v>
      </c>
      <c r="AWB29">
        <v>2</v>
      </c>
      <c r="AWC29" t="s">
        <v>1671</v>
      </c>
      <c r="AWD29">
        <v>11</v>
      </c>
      <c r="AWE29" t="s">
        <v>1680</v>
      </c>
      <c r="AWF29">
        <v>17</v>
      </c>
      <c r="AWG29">
        <v>13</v>
      </c>
      <c r="AWH29">
        <v>5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0.8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4</v>
      </c>
      <c r="AXA29">
        <v>2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2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1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2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3</v>
      </c>
      <c r="BBE29">
        <v>0</v>
      </c>
      <c r="BBF29">
        <v>4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8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1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2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1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3</v>
      </c>
      <c r="BDQ29">
        <v>0</v>
      </c>
      <c r="BDR29">
        <v>0</v>
      </c>
      <c r="BDS29">
        <v>0</v>
      </c>
      <c r="BDT29">
        <v>8</v>
      </c>
      <c r="BDU29">
        <v>0</v>
      </c>
      <c r="BDV29">
        <v>0</v>
      </c>
      <c r="BDW29">
        <v>3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1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1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1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</row>
    <row r="30" spans="1:1675" x14ac:dyDescent="0.2">
      <c r="A30">
        <v>3</v>
      </c>
      <c r="B30">
        <v>6</v>
      </c>
      <c r="C30">
        <f t="shared" si="0"/>
        <v>78</v>
      </c>
      <c r="D30">
        <f t="shared" si="3"/>
        <v>945</v>
      </c>
      <c r="E30">
        <f t="shared" si="4"/>
        <v>29</v>
      </c>
      <c r="F30">
        <f t="shared" si="2"/>
        <v>5</v>
      </c>
      <c r="G30">
        <f t="shared" si="5"/>
        <v>1</v>
      </c>
      <c r="H30" cm="1">
        <f t="array" ref="H30">_xlfn.IFS(P30=0, 1, P30=7, 2, P30=5, 3)</f>
        <v>3</v>
      </c>
      <c r="I30" cm="1">
        <f t="array" ref="I30">_xlfn.IFS(H30=1, IF(AC30=0, P30, PO30), H30=2, IF(AC30=0, P30, AFN30), H30=3, IF(AC30=0, P30, AVM30))</f>
        <v>6</v>
      </c>
      <c r="J30" cm="1">
        <f t="array" ref="J30">_xlfn.IFS(I30=0, 1, I30=1, 0, I30=2, 7, I30=7, 2, I30=5, 6, I30=6, 5)</f>
        <v>5</v>
      </c>
      <c r="K30" t="str" cm="1">
        <f t="array" ref="K30">_xlfn.IFNA(_xlfn.IFS(P30&lt;&gt;P31, 1, A30&lt;&gt;A31, IF(P31=P30, 1)), "")</f>
        <v/>
      </c>
      <c r="L30" t="str">
        <f t="shared" si="1"/>
        <v/>
      </c>
      <c r="M30" t="s">
        <v>1742</v>
      </c>
      <c r="N30" s="4" t="s">
        <v>1766</v>
      </c>
      <c r="O30" s="4"/>
      <c r="P30" s="4">
        <v>5</v>
      </c>
      <c r="Q30" s="4">
        <v>11</v>
      </c>
      <c r="R30" s="4">
        <v>6</v>
      </c>
      <c r="S30" s="4">
        <v>5</v>
      </c>
      <c r="T30" s="4">
        <v>2</v>
      </c>
      <c r="U30" s="4">
        <v>0</v>
      </c>
      <c r="V30" s="4">
        <v>0</v>
      </c>
      <c r="W30" s="4">
        <v>4</v>
      </c>
      <c r="X30" s="4">
        <v>0</v>
      </c>
      <c r="Y30" s="4">
        <v>1</v>
      </c>
      <c r="Z30" s="4">
        <v>1</v>
      </c>
      <c r="AA30" s="4">
        <v>249</v>
      </c>
      <c r="AB30" s="4">
        <v>264</v>
      </c>
      <c r="AC30" s="4">
        <v>1</v>
      </c>
      <c r="AD30" s="4">
        <v>14</v>
      </c>
      <c r="AE30" s="4">
        <v>2</v>
      </c>
      <c r="AF30" s="4" t="s">
        <v>1680</v>
      </c>
      <c r="AG30" s="4">
        <v>3</v>
      </c>
      <c r="AH30" s="4" t="s">
        <v>1678</v>
      </c>
      <c r="AI30" s="4">
        <v>4</v>
      </c>
      <c r="AJ30" s="4">
        <v>17</v>
      </c>
      <c r="AK30" s="4">
        <v>2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1.2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2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1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1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2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1</v>
      </c>
      <c r="GQ30" s="4">
        <v>0</v>
      </c>
      <c r="GR30" s="4">
        <v>0</v>
      </c>
      <c r="GS30" s="4">
        <v>0</v>
      </c>
      <c r="GT30" s="4">
        <v>0</v>
      </c>
      <c r="GU30" s="4">
        <v>1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2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1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2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6</v>
      </c>
      <c r="PP30" s="4">
        <v>91</v>
      </c>
      <c r="PQ30" s="4">
        <v>2</v>
      </c>
      <c r="PR30" s="4">
        <v>6</v>
      </c>
      <c r="PS30" s="4">
        <v>3</v>
      </c>
      <c r="PT30" s="4">
        <v>0</v>
      </c>
      <c r="PU30" s="4">
        <v>0</v>
      </c>
      <c r="PV30" s="4">
        <v>2</v>
      </c>
      <c r="PW30" s="4">
        <v>0</v>
      </c>
      <c r="PX30" s="4">
        <v>0</v>
      </c>
      <c r="PY30" s="4">
        <v>0</v>
      </c>
      <c r="PZ30" s="4">
        <v>246</v>
      </c>
      <c r="QA30" s="4">
        <v>264</v>
      </c>
      <c r="QB30" s="4">
        <v>0</v>
      </c>
      <c r="QC30" s="4">
        <v>11</v>
      </c>
      <c r="QD30" s="4">
        <v>2</v>
      </c>
      <c r="QE30" s="4" t="s">
        <v>1671</v>
      </c>
      <c r="QF30" s="4">
        <v>1</v>
      </c>
      <c r="QG30" s="4" t="s">
        <v>1671</v>
      </c>
      <c r="QH30" s="4">
        <v>3</v>
      </c>
      <c r="QI30" s="4">
        <v>115</v>
      </c>
      <c r="QJ30" s="4">
        <v>2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0.33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3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1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1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1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2</v>
      </c>
      <c r="VG30" s="4">
        <v>0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0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0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0</v>
      </c>
      <c r="XH30" s="4">
        <v>0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0</v>
      </c>
      <c r="XT30" s="4">
        <v>0</v>
      </c>
      <c r="XU30" s="4">
        <v>0</v>
      </c>
      <c r="XV30" s="4">
        <v>1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2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  <c r="YY30" s="4">
        <v>0</v>
      </c>
      <c r="YZ30" s="4">
        <v>0</v>
      </c>
      <c r="ZA30" s="4">
        <v>0</v>
      </c>
      <c r="ZB30" s="4">
        <v>0</v>
      </c>
      <c r="ZC30" s="4">
        <v>0</v>
      </c>
      <c r="ZD30" s="4">
        <v>0</v>
      </c>
      <c r="ZE30" s="4">
        <v>0</v>
      </c>
      <c r="ZF30" s="4">
        <v>0</v>
      </c>
      <c r="ZG30" s="4">
        <v>0</v>
      </c>
      <c r="ZH30" s="4">
        <v>0</v>
      </c>
      <c r="ZI30" s="4">
        <v>0</v>
      </c>
      <c r="ZJ30" s="4">
        <v>0</v>
      </c>
      <c r="ZK30" s="4">
        <v>0</v>
      </c>
      <c r="ZL30" s="4">
        <v>0</v>
      </c>
      <c r="ZM30" s="4">
        <v>0</v>
      </c>
      <c r="ZN30" s="4">
        <v>0</v>
      </c>
      <c r="ZO30" s="4">
        <v>0</v>
      </c>
      <c r="ZP30" s="4">
        <v>0</v>
      </c>
      <c r="ZQ30" s="4">
        <v>0</v>
      </c>
      <c r="ZR30" s="4">
        <v>0</v>
      </c>
      <c r="ZS30" s="4">
        <v>0</v>
      </c>
      <c r="ZT30" s="4">
        <v>0</v>
      </c>
      <c r="ZU30" s="4">
        <v>0</v>
      </c>
      <c r="ZV30" s="4">
        <v>0</v>
      </c>
      <c r="ZW30" s="4">
        <v>0</v>
      </c>
      <c r="ZX30" s="4">
        <v>0</v>
      </c>
      <c r="ZY30" s="4">
        <v>0</v>
      </c>
      <c r="ZZ30" s="4">
        <v>0</v>
      </c>
      <c r="AAA30" s="4">
        <v>0</v>
      </c>
      <c r="AAB30" s="4">
        <v>0</v>
      </c>
      <c r="AAC30" s="4">
        <v>0</v>
      </c>
      <c r="AAD30" s="4">
        <v>0</v>
      </c>
      <c r="AAE30" s="4">
        <v>0</v>
      </c>
      <c r="AAF30" s="4">
        <v>0</v>
      </c>
      <c r="AAG30" s="4">
        <v>0</v>
      </c>
      <c r="AAH30" s="4">
        <v>0</v>
      </c>
      <c r="AAI30" s="4">
        <v>0</v>
      </c>
      <c r="AAJ30" s="4">
        <v>0</v>
      </c>
      <c r="AAK30" s="4">
        <v>0</v>
      </c>
      <c r="AAL30" s="4">
        <v>0</v>
      </c>
      <c r="AAM30" s="4">
        <v>0</v>
      </c>
      <c r="AAN30" s="4">
        <v>0</v>
      </c>
      <c r="AAO30" s="4">
        <v>0</v>
      </c>
      <c r="AAP30" s="4">
        <v>0</v>
      </c>
      <c r="AAQ30" s="4">
        <v>0</v>
      </c>
      <c r="AAR30" s="4">
        <v>0</v>
      </c>
      <c r="AAS30" s="4">
        <v>0</v>
      </c>
      <c r="AAT30" s="4">
        <v>0</v>
      </c>
      <c r="AAU30" s="4">
        <v>0</v>
      </c>
      <c r="AAV30" s="4">
        <v>0</v>
      </c>
      <c r="AAW30" s="4">
        <v>0</v>
      </c>
      <c r="AAX30" s="4">
        <v>0</v>
      </c>
      <c r="AAY30" s="4">
        <v>0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4">
        <v>0</v>
      </c>
      <c r="ABG30" s="4">
        <v>0</v>
      </c>
      <c r="ABH30" s="4">
        <v>0</v>
      </c>
      <c r="ABI30" s="4">
        <v>0</v>
      </c>
      <c r="ABJ30" s="4">
        <v>0</v>
      </c>
      <c r="ABK30" s="4">
        <v>0</v>
      </c>
      <c r="ABL30" s="4">
        <v>0</v>
      </c>
      <c r="ABM30" s="4">
        <v>0</v>
      </c>
      <c r="ABN30" s="4">
        <v>0</v>
      </c>
      <c r="ABO30" s="4">
        <v>0</v>
      </c>
      <c r="ABP30" s="4">
        <v>0</v>
      </c>
      <c r="ABQ30" s="4">
        <v>0</v>
      </c>
      <c r="ABR30" s="4">
        <v>0</v>
      </c>
      <c r="ABS30" s="4">
        <v>0</v>
      </c>
      <c r="ABT30" s="4">
        <v>0</v>
      </c>
      <c r="ABU30" s="4">
        <v>0</v>
      </c>
      <c r="ABV30" s="4">
        <v>0</v>
      </c>
      <c r="ABW30" s="4">
        <v>0</v>
      </c>
      <c r="ABX30" s="4">
        <v>0</v>
      </c>
      <c r="ABY30" s="4">
        <v>0</v>
      </c>
      <c r="ABZ30" s="4">
        <v>0</v>
      </c>
      <c r="ACA30" s="4">
        <v>0</v>
      </c>
      <c r="ACB30" s="4">
        <v>0</v>
      </c>
      <c r="ACC30" s="4">
        <v>0</v>
      </c>
      <c r="ACD30" s="4">
        <v>0</v>
      </c>
      <c r="ACE30" s="4">
        <v>0</v>
      </c>
      <c r="ACF30" s="4">
        <v>0</v>
      </c>
      <c r="ACG30" s="4">
        <v>0</v>
      </c>
      <c r="ACH30" s="4">
        <v>0</v>
      </c>
      <c r="ACI30" s="4">
        <v>0</v>
      </c>
      <c r="ACJ30" s="4">
        <v>0</v>
      </c>
      <c r="ACK30" s="4">
        <v>0</v>
      </c>
      <c r="ACL30" s="4">
        <v>0</v>
      </c>
      <c r="ACM30" s="4">
        <v>0</v>
      </c>
      <c r="ACN30" s="4">
        <v>0</v>
      </c>
      <c r="ACO30" s="4">
        <v>0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0</v>
      </c>
      <c r="ACV30" s="4">
        <v>0</v>
      </c>
      <c r="ACW30" s="4">
        <v>0</v>
      </c>
      <c r="ACX30" s="4">
        <v>0</v>
      </c>
      <c r="ACY30" s="4">
        <v>0</v>
      </c>
      <c r="ACZ30" s="4">
        <v>0</v>
      </c>
      <c r="ADA30" s="4">
        <v>0</v>
      </c>
      <c r="ADB30" s="4">
        <v>0</v>
      </c>
      <c r="ADC30" s="4">
        <v>0</v>
      </c>
      <c r="ADD30" s="4">
        <v>0</v>
      </c>
      <c r="ADE30" s="4">
        <v>0</v>
      </c>
      <c r="ADF30" s="4">
        <v>0</v>
      </c>
      <c r="ADG30" s="4">
        <v>0</v>
      </c>
      <c r="ADH30" s="4">
        <v>0</v>
      </c>
      <c r="ADI30" s="4">
        <v>0</v>
      </c>
      <c r="ADJ30" s="4">
        <v>0</v>
      </c>
      <c r="ADK30" s="4">
        <v>0</v>
      </c>
      <c r="ADL30" s="4">
        <v>0</v>
      </c>
      <c r="ADM30" s="4">
        <v>0</v>
      </c>
      <c r="ADN30" s="4">
        <v>0</v>
      </c>
      <c r="ADO30" s="4">
        <v>0</v>
      </c>
      <c r="ADP30" s="4">
        <v>0</v>
      </c>
      <c r="ADQ30" s="4">
        <v>0</v>
      </c>
      <c r="ADR30" s="4">
        <v>0</v>
      </c>
      <c r="ADS30" s="4">
        <v>0</v>
      </c>
      <c r="ADT30" s="4">
        <v>0</v>
      </c>
      <c r="ADU30" s="4">
        <v>0</v>
      </c>
      <c r="ADV30" s="4">
        <v>0</v>
      </c>
      <c r="ADW30" s="4">
        <v>0</v>
      </c>
      <c r="ADX30" s="4">
        <v>0</v>
      </c>
      <c r="ADY30" s="4">
        <v>0</v>
      </c>
      <c r="ADZ30" s="4">
        <v>0</v>
      </c>
      <c r="AEA30" s="4">
        <v>0</v>
      </c>
      <c r="AEB30" s="4">
        <v>0</v>
      </c>
      <c r="AEC30" s="4">
        <v>0</v>
      </c>
      <c r="AED30" s="4">
        <v>0</v>
      </c>
      <c r="AEE30" s="4">
        <v>0</v>
      </c>
      <c r="AEF30" s="4">
        <v>0</v>
      </c>
      <c r="AEG30" s="4">
        <v>0</v>
      </c>
      <c r="AEH30" s="4">
        <v>0</v>
      </c>
      <c r="AEI30" s="4">
        <v>0</v>
      </c>
      <c r="AEJ30" s="4">
        <v>0</v>
      </c>
      <c r="AEK30" s="4">
        <v>0</v>
      </c>
      <c r="AEL30" s="4">
        <v>0</v>
      </c>
      <c r="AEM30" s="4">
        <v>0</v>
      </c>
      <c r="AEN30" s="4">
        <v>0</v>
      </c>
      <c r="AEO30" s="4">
        <v>0</v>
      </c>
      <c r="AEP30" s="4">
        <v>0</v>
      </c>
      <c r="AEQ30" s="4">
        <v>0</v>
      </c>
      <c r="AER30" s="4">
        <v>0</v>
      </c>
      <c r="AES30" s="4">
        <v>0</v>
      </c>
      <c r="AET30" s="4">
        <v>0</v>
      </c>
      <c r="AEU30" s="4">
        <v>0</v>
      </c>
      <c r="AEV30" s="4">
        <v>0</v>
      </c>
      <c r="AEW30" s="4">
        <v>0</v>
      </c>
      <c r="AEX30" s="4">
        <v>0</v>
      </c>
      <c r="AEY30" s="4">
        <v>0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0</v>
      </c>
      <c r="AFK30" s="4">
        <v>0</v>
      </c>
      <c r="AFL30" s="4">
        <v>0</v>
      </c>
      <c r="AFM30" s="4">
        <v>0</v>
      </c>
      <c r="AFN30" s="4">
        <v>5</v>
      </c>
      <c r="AFO30" s="4">
        <v>15</v>
      </c>
      <c r="AFP30" s="4">
        <v>6</v>
      </c>
      <c r="AFQ30" s="4">
        <v>5</v>
      </c>
      <c r="AFR30" s="4">
        <v>1</v>
      </c>
      <c r="AFS30" s="4">
        <v>0</v>
      </c>
      <c r="AFT30" s="4">
        <v>0</v>
      </c>
      <c r="AFU30" s="4">
        <v>6</v>
      </c>
      <c r="AFV30" s="4">
        <v>0</v>
      </c>
      <c r="AFW30" s="4">
        <v>0</v>
      </c>
      <c r="AFX30" s="4">
        <v>0</v>
      </c>
      <c r="AFY30" s="4">
        <v>249</v>
      </c>
      <c r="AFZ30" s="4">
        <v>264</v>
      </c>
      <c r="AGA30" s="4">
        <v>1</v>
      </c>
      <c r="AGB30" s="4">
        <v>14</v>
      </c>
      <c r="AGC30" s="4">
        <v>4</v>
      </c>
      <c r="AGD30" s="4" t="s">
        <v>1680</v>
      </c>
      <c r="AGE30" s="4">
        <v>3</v>
      </c>
      <c r="AGF30" s="4" t="s">
        <v>1678</v>
      </c>
      <c r="AGG30" s="4">
        <v>4</v>
      </c>
      <c r="AGH30" s="4">
        <v>19</v>
      </c>
      <c r="AGI30" s="4">
        <v>3</v>
      </c>
      <c r="AGJ30" s="4">
        <v>0</v>
      </c>
      <c r="AGK30" s="4">
        <v>0</v>
      </c>
      <c r="AGL30" s="4">
        <v>0</v>
      </c>
      <c r="AGM30" s="4">
        <v>0</v>
      </c>
      <c r="AGN30" s="4">
        <v>0</v>
      </c>
      <c r="AGO30" s="4">
        <v>0</v>
      </c>
      <c r="AGP30" s="4">
        <v>0</v>
      </c>
      <c r="AGQ30" s="4">
        <v>0</v>
      </c>
      <c r="AGR30" s="4">
        <v>1.2</v>
      </c>
      <c r="AGS30" s="4">
        <v>0</v>
      </c>
      <c r="AGT30" s="4">
        <v>0</v>
      </c>
      <c r="AGU30" s="4">
        <v>0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1</v>
      </c>
      <c r="AHB30" s="4">
        <v>0</v>
      </c>
      <c r="AHC30" s="4">
        <v>0</v>
      </c>
      <c r="AHD30" s="4">
        <v>0</v>
      </c>
      <c r="AHE30" s="4">
        <v>0</v>
      </c>
      <c r="AHF30" s="4">
        <v>0</v>
      </c>
      <c r="AHG30" s="4">
        <v>0</v>
      </c>
      <c r="AHH30" s="4">
        <v>0</v>
      </c>
      <c r="AHI30" s="4">
        <v>0</v>
      </c>
      <c r="AHJ30" s="4">
        <v>0</v>
      </c>
      <c r="AHK30" s="4">
        <v>0</v>
      </c>
      <c r="AHL30" s="4">
        <v>0</v>
      </c>
      <c r="AHM30" s="4">
        <v>0</v>
      </c>
      <c r="AHN30" s="4">
        <v>0</v>
      </c>
      <c r="AHO30" s="4">
        <v>0</v>
      </c>
      <c r="AHP30" s="4">
        <v>0</v>
      </c>
      <c r="AHQ30" s="4">
        <v>0</v>
      </c>
      <c r="AHR30" s="4">
        <v>0</v>
      </c>
      <c r="AHS30" s="4">
        <v>0</v>
      </c>
      <c r="AHT30" s="4">
        <v>0</v>
      </c>
      <c r="AHU30" s="4">
        <v>0</v>
      </c>
      <c r="AHV30" s="4">
        <v>0</v>
      </c>
      <c r="AHW30" s="4">
        <v>0</v>
      </c>
      <c r="AHX30" s="4">
        <v>0</v>
      </c>
      <c r="AHY30" s="4">
        <v>0</v>
      </c>
      <c r="AHZ30" s="4">
        <v>0</v>
      </c>
      <c r="AIA30" s="4">
        <v>0</v>
      </c>
      <c r="AIB30" s="4">
        <v>0</v>
      </c>
      <c r="AIC30" s="4">
        <v>0</v>
      </c>
      <c r="AID30" s="4">
        <v>0</v>
      </c>
      <c r="AIE30" s="4">
        <v>0</v>
      </c>
      <c r="AIF30" s="4">
        <v>0</v>
      </c>
      <c r="AIG30" s="4">
        <v>0</v>
      </c>
      <c r="AIH30" s="4">
        <v>0</v>
      </c>
      <c r="AII30" s="4">
        <v>0</v>
      </c>
      <c r="AIJ30" s="4">
        <v>0</v>
      </c>
      <c r="AIK30" s="4">
        <v>0</v>
      </c>
      <c r="AIL30" s="4">
        <v>0</v>
      </c>
      <c r="AIM30" s="4">
        <v>0</v>
      </c>
      <c r="AIN30" s="4">
        <v>0</v>
      </c>
      <c r="AIO30" s="4">
        <v>0</v>
      </c>
      <c r="AIP30" s="4">
        <v>0</v>
      </c>
      <c r="AIQ30" s="4">
        <v>0</v>
      </c>
      <c r="AIR30" s="4">
        <v>0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0</v>
      </c>
      <c r="AIY30" s="4">
        <v>0</v>
      </c>
      <c r="AIZ30" s="4">
        <v>0</v>
      </c>
      <c r="AJA30" s="4">
        <v>0</v>
      </c>
      <c r="AJB30" s="4">
        <v>0</v>
      </c>
      <c r="AJC30" s="4">
        <v>0</v>
      </c>
      <c r="AJD30" s="4">
        <v>0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0</v>
      </c>
      <c r="AJK30" s="4">
        <v>0</v>
      </c>
      <c r="AJL30" s="4">
        <v>0</v>
      </c>
      <c r="AJM30" s="4">
        <v>0</v>
      </c>
      <c r="AJN30" s="4">
        <v>0</v>
      </c>
      <c r="AJO30" s="4">
        <v>0</v>
      </c>
      <c r="AJP30" s="4">
        <v>0</v>
      </c>
      <c r="AJQ30" s="4">
        <v>0</v>
      </c>
      <c r="AJR30" s="4">
        <v>0</v>
      </c>
      <c r="AJS30" s="4">
        <v>0</v>
      </c>
      <c r="AJT30" s="4">
        <v>0</v>
      </c>
      <c r="AJU30" s="4">
        <v>0</v>
      </c>
      <c r="AJV30" s="4">
        <v>0</v>
      </c>
      <c r="AJW30" s="4">
        <v>0</v>
      </c>
      <c r="AJX30" s="4">
        <v>0</v>
      </c>
      <c r="AJY30" s="4">
        <v>0</v>
      </c>
      <c r="AJZ30" s="4">
        <v>0</v>
      </c>
      <c r="AKA30" s="4">
        <v>0</v>
      </c>
      <c r="AKB30" s="4">
        <v>0</v>
      </c>
      <c r="AKC30" s="4">
        <v>0</v>
      </c>
      <c r="AKD30" s="4">
        <v>0</v>
      </c>
      <c r="AKE30" s="4">
        <v>0</v>
      </c>
      <c r="AKF30" s="4">
        <v>0</v>
      </c>
      <c r="AKG30" s="4">
        <v>0</v>
      </c>
      <c r="AKH30" s="4">
        <v>0</v>
      </c>
      <c r="AKI30" s="4">
        <v>0</v>
      </c>
      <c r="AKJ30" s="4">
        <v>0</v>
      </c>
      <c r="AKK30" s="4">
        <v>0</v>
      </c>
      <c r="AKL30" s="4">
        <v>0</v>
      </c>
      <c r="AKM30" s="4">
        <v>0</v>
      </c>
      <c r="AKN30" s="4">
        <v>0</v>
      </c>
      <c r="AKO30" s="4">
        <v>0</v>
      </c>
      <c r="AKP30" s="4">
        <v>0</v>
      </c>
      <c r="AKQ30" s="4">
        <v>0</v>
      </c>
      <c r="AKR30" s="4">
        <v>0</v>
      </c>
      <c r="AKS30" s="4">
        <v>0</v>
      </c>
      <c r="AKT30" s="4">
        <v>0</v>
      </c>
      <c r="AKU30" s="4">
        <v>0</v>
      </c>
      <c r="AKV30" s="4">
        <v>0</v>
      </c>
      <c r="AKW30" s="4">
        <v>0</v>
      </c>
      <c r="AKX30" s="4">
        <v>0</v>
      </c>
      <c r="AKY30" s="4">
        <v>0</v>
      </c>
      <c r="AKZ30" s="4">
        <v>0</v>
      </c>
      <c r="ALA30" s="4">
        <v>0</v>
      </c>
      <c r="ALB30" s="4">
        <v>0</v>
      </c>
      <c r="ALC30" s="4">
        <v>0</v>
      </c>
      <c r="ALD30" s="4">
        <v>0</v>
      </c>
      <c r="ALE30" s="4">
        <v>2</v>
      </c>
      <c r="ALF30" s="4">
        <v>0</v>
      </c>
      <c r="ALG30" s="4">
        <v>1</v>
      </c>
      <c r="ALH30" s="4">
        <v>0</v>
      </c>
      <c r="ALI30" s="4">
        <v>0</v>
      </c>
      <c r="ALJ30" s="4">
        <v>0</v>
      </c>
      <c r="ALK30" s="4">
        <v>0</v>
      </c>
      <c r="ALL30" s="4">
        <v>0</v>
      </c>
      <c r="ALM30" s="4">
        <v>0</v>
      </c>
      <c r="ALN30" s="4">
        <v>0</v>
      </c>
      <c r="ALO30" s="4">
        <v>0</v>
      </c>
      <c r="ALP30" s="4">
        <v>0</v>
      </c>
      <c r="ALQ30" s="4">
        <v>0</v>
      </c>
      <c r="ALR30" s="4">
        <v>1</v>
      </c>
      <c r="ALS30" s="4">
        <v>0</v>
      </c>
      <c r="ALT30" s="4">
        <v>0</v>
      </c>
      <c r="ALU30" s="4">
        <v>0</v>
      </c>
      <c r="ALV30" s="4">
        <v>0</v>
      </c>
      <c r="ALW30" s="4">
        <v>0</v>
      </c>
      <c r="ALX30" s="4">
        <v>0</v>
      </c>
      <c r="ALY30" s="4">
        <v>0</v>
      </c>
      <c r="ALZ30" s="4">
        <v>0</v>
      </c>
      <c r="AMA30" s="4">
        <v>0</v>
      </c>
      <c r="AMB30" s="4">
        <v>0</v>
      </c>
      <c r="AMC30" s="4">
        <v>0</v>
      </c>
      <c r="AMD30" s="4">
        <v>0</v>
      </c>
      <c r="AME30" s="4">
        <v>0</v>
      </c>
      <c r="AMF30" s="4">
        <v>0</v>
      </c>
      <c r="AMG30" s="4">
        <v>0</v>
      </c>
      <c r="AMH30" s="4">
        <v>0</v>
      </c>
      <c r="AMI30" s="4">
        <v>0</v>
      </c>
      <c r="AMJ30" s="4">
        <v>0</v>
      </c>
      <c r="AMK30" s="4">
        <v>0</v>
      </c>
      <c r="AML30" s="4">
        <v>3</v>
      </c>
      <c r="AMM30" s="4">
        <v>0</v>
      </c>
      <c r="AMN30" s="4">
        <v>0</v>
      </c>
      <c r="AMO30" s="4">
        <v>0</v>
      </c>
      <c r="AMP30" s="4">
        <v>0</v>
      </c>
      <c r="AMQ30" s="4">
        <v>0</v>
      </c>
      <c r="AMR30" s="4">
        <v>0</v>
      </c>
      <c r="AMS30" s="4">
        <v>0</v>
      </c>
      <c r="AMT30" s="4">
        <v>0</v>
      </c>
      <c r="AMU30" s="4">
        <v>0</v>
      </c>
      <c r="AMV30" s="4">
        <v>0</v>
      </c>
      <c r="AMW30" s="4">
        <v>0</v>
      </c>
      <c r="AMX30" s="4">
        <v>0</v>
      </c>
      <c r="AMY30" s="4">
        <v>0</v>
      </c>
      <c r="AMZ30" s="4">
        <v>0</v>
      </c>
      <c r="ANA30" s="4">
        <v>0</v>
      </c>
      <c r="ANB30" s="4">
        <v>0</v>
      </c>
      <c r="ANC30" s="4">
        <v>0</v>
      </c>
      <c r="AND30" s="4">
        <v>0</v>
      </c>
      <c r="ANE30" s="4">
        <v>0</v>
      </c>
      <c r="ANF30" s="4">
        <v>0</v>
      </c>
      <c r="ANG30" s="4">
        <v>0</v>
      </c>
      <c r="ANH30" s="4">
        <v>1</v>
      </c>
      <c r="ANI30" s="4">
        <v>0</v>
      </c>
      <c r="ANJ30" s="4">
        <v>0</v>
      </c>
      <c r="ANK30" s="4">
        <v>0</v>
      </c>
      <c r="ANL30" s="4">
        <v>0</v>
      </c>
      <c r="ANM30" s="4">
        <v>0</v>
      </c>
      <c r="ANN30" s="4">
        <v>0</v>
      </c>
      <c r="ANO30" s="4">
        <v>0</v>
      </c>
      <c r="ANP30" s="4">
        <v>0</v>
      </c>
      <c r="ANQ30" s="4">
        <v>0</v>
      </c>
      <c r="ANR30" s="4">
        <v>0</v>
      </c>
      <c r="ANS30" s="4">
        <v>0</v>
      </c>
      <c r="ANT30" s="4">
        <v>0</v>
      </c>
      <c r="ANU30" s="4">
        <v>2</v>
      </c>
      <c r="ANV30" s="4">
        <v>0</v>
      </c>
      <c r="ANW30" s="4">
        <v>0</v>
      </c>
      <c r="ANX30" s="4">
        <v>1</v>
      </c>
      <c r="ANY30" s="4">
        <v>0</v>
      </c>
      <c r="ANZ30" s="4">
        <v>0</v>
      </c>
      <c r="AOA30" s="4">
        <v>0</v>
      </c>
      <c r="AOB30" s="4">
        <v>0</v>
      </c>
      <c r="AOC30" s="4">
        <v>0</v>
      </c>
      <c r="AOD30" s="4">
        <v>0</v>
      </c>
      <c r="AOE30" s="4">
        <v>0</v>
      </c>
      <c r="AOF30" s="4">
        <v>0</v>
      </c>
      <c r="AOG30" s="4">
        <v>1</v>
      </c>
      <c r="AOH30" s="4">
        <v>0</v>
      </c>
      <c r="AOI30" s="4">
        <v>0</v>
      </c>
      <c r="AOJ30" s="4">
        <v>0</v>
      </c>
      <c r="AOK30" s="4">
        <v>0</v>
      </c>
      <c r="AOL30" s="4">
        <v>0</v>
      </c>
      <c r="AOM30" s="4">
        <v>0</v>
      </c>
      <c r="AON30" s="4">
        <v>0</v>
      </c>
      <c r="AOO30" s="4">
        <v>0</v>
      </c>
      <c r="AOP30" s="4">
        <v>0</v>
      </c>
      <c r="AOQ30" s="4">
        <v>0</v>
      </c>
      <c r="AOR30" s="4">
        <v>0</v>
      </c>
      <c r="AOS30" s="4">
        <v>0</v>
      </c>
      <c r="AOT30" s="4">
        <v>0</v>
      </c>
      <c r="AOU30" s="4">
        <v>0</v>
      </c>
      <c r="AOV30" s="4">
        <v>0</v>
      </c>
      <c r="AOW30" s="4">
        <v>0</v>
      </c>
      <c r="AOX30" s="4">
        <v>0</v>
      </c>
      <c r="AOY30" s="4">
        <v>0</v>
      </c>
      <c r="AOZ30" s="4">
        <v>0</v>
      </c>
      <c r="APA30" s="4">
        <v>0</v>
      </c>
      <c r="APB30" s="4">
        <v>0</v>
      </c>
      <c r="APC30" s="4">
        <v>0</v>
      </c>
      <c r="APD30" s="4">
        <v>0</v>
      </c>
      <c r="APE30" s="4">
        <v>0</v>
      </c>
      <c r="APF30" s="4">
        <v>0</v>
      </c>
      <c r="APG30" s="4">
        <v>0</v>
      </c>
      <c r="APH30" s="4">
        <v>0</v>
      </c>
      <c r="API30" s="4">
        <v>0</v>
      </c>
      <c r="APJ30" s="4">
        <v>0</v>
      </c>
      <c r="APK30" s="4">
        <v>0</v>
      </c>
      <c r="APL30" s="4">
        <v>0</v>
      </c>
      <c r="APM30" s="4">
        <v>0</v>
      </c>
      <c r="APN30" s="4">
        <v>0</v>
      </c>
      <c r="APO30" s="4">
        <v>0</v>
      </c>
      <c r="APP30" s="4">
        <v>0</v>
      </c>
      <c r="APQ30" s="4">
        <v>0</v>
      </c>
      <c r="APR30" s="4">
        <v>1</v>
      </c>
      <c r="APS30" s="4">
        <v>0</v>
      </c>
      <c r="APT30" s="4">
        <v>0</v>
      </c>
      <c r="APU30" s="4">
        <v>0</v>
      </c>
      <c r="APV30" s="4">
        <v>0</v>
      </c>
      <c r="APW30" s="4">
        <v>0</v>
      </c>
      <c r="APX30" s="4">
        <v>0</v>
      </c>
      <c r="APY30" s="4">
        <v>0</v>
      </c>
      <c r="APZ30" s="4">
        <v>0</v>
      </c>
      <c r="AQA30" s="4">
        <v>0</v>
      </c>
      <c r="AQB30" s="4">
        <v>0</v>
      </c>
      <c r="AQC30" s="4">
        <v>0</v>
      </c>
      <c r="AQD30" s="4">
        <v>0</v>
      </c>
      <c r="AQE30" s="4">
        <v>0</v>
      </c>
      <c r="AQF30" s="4">
        <v>0</v>
      </c>
      <c r="AQG30" s="4">
        <v>0</v>
      </c>
      <c r="AQH30" s="4">
        <v>0</v>
      </c>
      <c r="AQI30" s="4">
        <v>0</v>
      </c>
      <c r="AQJ30" s="4">
        <v>0</v>
      </c>
      <c r="AQK30" s="4">
        <v>0</v>
      </c>
      <c r="AQL30" s="4">
        <v>0</v>
      </c>
      <c r="AQM30" s="4">
        <v>0</v>
      </c>
      <c r="AQN30" s="4">
        <v>0</v>
      </c>
      <c r="AQO30" s="4">
        <v>0</v>
      </c>
      <c r="AQP30" s="4">
        <v>0</v>
      </c>
      <c r="AQQ30" s="4">
        <v>0</v>
      </c>
      <c r="AQR30" s="4">
        <v>0</v>
      </c>
      <c r="AQS30" s="4">
        <v>0</v>
      </c>
      <c r="AQT30" s="4">
        <v>0</v>
      </c>
      <c r="AQU30" s="4">
        <v>0</v>
      </c>
      <c r="AQV30" s="4">
        <v>0</v>
      </c>
      <c r="AQW30" s="4">
        <v>0</v>
      </c>
      <c r="AQX30" s="4">
        <v>0</v>
      </c>
      <c r="AQY30" s="4">
        <v>0</v>
      </c>
      <c r="AQZ30" s="4">
        <v>0</v>
      </c>
      <c r="ARA30" s="4">
        <v>0</v>
      </c>
      <c r="ARB30" s="4">
        <v>0</v>
      </c>
      <c r="ARC30" s="4">
        <v>0</v>
      </c>
      <c r="ARD30" s="4">
        <v>0</v>
      </c>
      <c r="ARE30" s="4">
        <v>0</v>
      </c>
      <c r="ARF30" s="4">
        <v>0</v>
      </c>
      <c r="ARG30" s="4">
        <v>0</v>
      </c>
      <c r="ARH30" s="4">
        <v>0</v>
      </c>
      <c r="ARI30" s="4">
        <v>0</v>
      </c>
      <c r="ARJ30" s="4">
        <v>0</v>
      </c>
      <c r="ARK30" s="4">
        <v>0</v>
      </c>
      <c r="ARL30" s="4">
        <v>0</v>
      </c>
      <c r="ARM30" s="4">
        <v>0</v>
      </c>
      <c r="ARN30" s="4">
        <v>0</v>
      </c>
      <c r="ARO30" s="4">
        <v>0</v>
      </c>
      <c r="ARP30" s="4">
        <v>0</v>
      </c>
      <c r="ARQ30" s="4">
        <v>0</v>
      </c>
      <c r="ARR30" s="4">
        <v>0</v>
      </c>
      <c r="ARS30" s="4">
        <v>0</v>
      </c>
      <c r="ART30" s="4">
        <v>0</v>
      </c>
      <c r="ARU30" s="4">
        <v>0</v>
      </c>
      <c r="ARV30" s="4">
        <v>0</v>
      </c>
      <c r="ARW30" s="4">
        <v>0</v>
      </c>
      <c r="ARX30" s="4">
        <v>0</v>
      </c>
      <c r="ARY30" s="4">
        <v>0</v>
      </c>
      <c r="ARZ30" s="4">
        <v>0</v>
      </c>
      <c r="ASA30" s="4">
        <v>0</v>
      </c>
      <c r="ASB30" s="4">
        <v>0</v>
      </c>
      <c r="ASC30" s="4">
        <v>0</v>
      </c>
      <c r="ASD30" s="4">
        <v>0</v>
      </c>
      <c r="ASE30" s="4">
        <v>0</v>
      </c>
      <c r="ASF30" s="4">
        <v>0</v>
      </c>
      <c r="ASG30" s="4">
        <v>0</v>
      </c>
      <c r="ASH30" s="4">
        <v>0</v>
      </c>
      <c r="ASI30" s="4">
        <v>0</v>
      </c>
      <c r="ASJ30" s="4">
        <v>0</v>
      </c>
      <c r="ASK30" s="4">
        <v>0</v>
      </c>
      <c r="ASL30" s="4">
        <v>0</v>
      </c>
      <c r="ASM30" s="4">
        <v>0</v>
      </c>
      <c r="ASN30" s="4">
        <v>0</v>
      </c>
      <c r="ASO30" s="4">
        <v>0</v>
      </c>
      <c r="ASP30" s="4">
        <v>0</v>
      </c>
      <c r="ASQ30" s="4">
        <v>0</v>
      </c>
      <c r="ASR30" s="4">
        <v>0</v>
      </c>
      <c r="ASS30" s="4">
        <v>0</v>
      </c>
      <c r="AST30" s="4">
        <v>0</v>
      </c>
      <c r="ASU30" s="4">
        <v>0</v>
      </c>
      <c r="ASV30" s="4">
        <v>0</v>
      </c>
      <c r="ASW30" s="4">
        <v>0</v>
      </c>
      <c r="ASX30" s="4">
        <v>0</v>
      </c>
      <c r="ASY30" s="4">
        <v>0</v>
      </c>
      <c r="ASZ30" s="4">
        <v>0</v>
      </c>
      <c r="ATA30" s="4">
        <v>0</v>
      </c>
      <c r="ATB30" s="4">
        <v>0</v>
      </c>
      <c r="ATC30" s="4">
        <v>0</v>
      </c>
      <c r="ATD30" s="4">
        <v>0</v>
      </c>
      <c r="ATE30" s="4">
        <v>0</v>
      </c>
      <c r="ATF30" s="4">
        <v>0</v>
      </c>
      <c r="ATG30" s="4">
        <v>0</v>
      </c>
      <c r="ATH30" s="4">
        <v>0</v>
      </c>
      <c r="ATI30" s="4">
        <v>0</v>
      </c>
      <c r="ATJ30" s="4">
        <v>0</v>
      </c>
      <c r="ATK30" s="4">
        <v>0</v>
      </c>
      <c r="ATL30" s="4">
        <v>0</v>
      </c>
      <c r="ATM30" s="4">
        <v>0</v>
      </c>
      <c r="ATN30" s="4">
        <v>0</v>
      </c>
      <c r="ATO30" s="4">
        <v>0</v>
      </c>
      <c r="ATP30" s="4">
        <v>0</v>
      </c>
      <c r="ATQ30" s="4">
        <v>0</v>
      </c>
      <c r="ATR30" s="4">
        <v>0</v>
      </c>
      <c r="ATS30" s="4">
        <v>0</v>
      </c>
      <c r="ATT30" s="4">
        <v>0</v>
      </c>
      <c r="ATU30" s="4">
        <v>0</v>
      </c>
      <c r="ATV30" s="4">
        <v>0</v>
      </c>
      <c r="ATW30" s="4">
        <v>0</v>
      </c>
      <c r="ATX30" s="4">
        <v>0</v>
      </c>
      <c r="ATY30" s="4">
        <v>0</v>
      </c>
      <c r="ATZ30" s="4">
        <v>0</v>
      </c>
      <c r="AUA30" s="4">
        <v>0</v>
      </c>
      <c r="AUB30" s="4">
        <v>0</v>
      </c>
      <c r="AUC30" s="4">
        <v>0</v>
      </c>
      <c r="AUD30" s="4">
        <v>0</v>
      </c>
      <c r="AUE30" s="4">
        <v>0</v>
      </c>
      <c r="AUF30" s="4">
        <v>0</v>
      </c>
      <c r="AUG30" s="4">
        <v>0</v>
      </c>
      <c r="AUH30" s="4">
        <v>0</v>
      </c>
      <c r="AUI30" s="4">
        <v>0</v>
      </c>
      <c r="AUJ30" s="4">
        <v>0</v>
      </c>
      <c r="AUK30" s="4">
        <v>0</v>
      </c>
      <c r="AUL30" s="4">
        <v>0</v>
      </c>
      <c r="AUM30" s="4">
        <v>0</v>
      </c>
      <c r="AUN30" s="4">
        <v>0</v>
      </c>
      <c r="AUO30" s="4">
        <v>0</v>
      </c>
      <c r="AUP30" s="4">
        <v>0</v>
      </c>
      <c r="AUQ30" s="4">
        <v>0</v>
      </c>
      <c r="AUR30" s="4">
        <v>0</v>
      </c>
      <c r="AUS30" s="4">
        <v>0</v>
      </c>
      <c r="AUT30" s="4">
        <v>0</v>
      </c>
      <c r="AUU30" s="4">
        <v>0</v>
      </c>
      <c r="AUV30" s="4">
        <v>0</v>
      </c>
      <c r="AUW30" s="4">
        <v>0</v>
      </c>
      <c r="AUX30" s="4">
        <v>0</v>
      </c>
      <c r="AUY30" s="4">
        <v>0</v>
      </c>
      <c r="AUZ30" s="4">
        <v>0</v>
      </c>
      <c r="AVA30" s="4">
        <v>0</v>
      </c>
      <c r="AVB30" s="4">
        <v>0</v>
      </c>
      <c r="AVC30" s="4">
        <v>0</v>
      </c>
      <c r="AVD30" s="4">
        <v>0</v>
      </c>
      <c r="AVE30" s="4">
        <v>0</v>
      </c>
      <c r="AVF30" s="4">
        <v>0</v>
      </c>
      <c r="AVG30" s="4">
        <v>0</v>
      </c>
      <c r="AVH30" s="4">
        <v>0</v>
      </c>
      <c r="AVI30" s="4">
        <v>0</v>
      </c>
      <c r="AVJ30" s="4">
        <v>0</v>
      </c>
      <c r="AVK30" s="4">
        <v>0</v>
      </c>
      <c r="AVL30" s="4">
        <v>0</v>
      </c>
      <c r="AVM30" s="4">
        <v>6</v>
      </c>
      <c r="AVN30" s="4">
        <v>59</v>
      </c>
      <c r="AVO30" s="4">
        <v>8</v>
      </c>
      <c r="AVP30" s="4">
        <v>6</v>
      </c>
      <c r="AVQ30" s="4">
        <v>1</v>
      </c>
      <c r="AVR30" s="4">
        <v>0</v>
      </c>
      <c r="AVS30" s="4">
        <v>0</v>
      </c>
      <c r="AVT30" s="4">
        <v>6</v>
      </c>
      <c r="AVU30" s="4">
        <v>1</v>
      </c>
      <c r="AVV30" s="4">
        <v>1</v>
      </c>
      <c r="AVW30" s="4">
        <v>0</v>
      </c>
      <c r="AVX30" s="4">
        <v>246</v>
      </c>
      <c r="AVY30" s="4">
        <v>264</v>
      </c>
      <c r="AVZ30" s="4">
        <v>0</v>
      </c>
      <c r="AWA30" s="4">
        <v>17</v>
      </c>
      <c r="AWB30" s="4">
        <v>4</v>
      </c>
      <c r="AWC30" s="4" t="s">
        <v>1671</v>
      </c>
      <c r="AWD30" s="4">
        <v>4</v>
      </c>
      <c r="AWE30" s="4" t="s">
        <v>1671</v>
      </c>
      <c r="AWF30" s="4">
        <v>3</v>
      </c>
      <c r="AWG30" s="4">
        <v>13</v>
      </c>
      <c r="AWH30" s="4">
        <v>4</v>
      </c>
      <c r="AWI30" s="4">
        <v>0</v>
      </c>
      <c r="AWJ30" s="4">
        <v>0</v>
      </c>
      <c r="AWK30" s="4">
        <v>0</v>
      </c>
      <c r="AWL30" s="4">
        <v>0</v>
      </c>
      <c r="AWM30" s="4">
        <v>0</v>
      </c>
      <c r="AWN30" s="4">
        <v>0</v>
      </c>
      <c r="AWO30" s="4">
        <v>0</v>
      </c>
      <c r="AWP30" s="4">
        <v>0</v>
      </c>
      <c r="AWQ30" s="4">
        <v>1.33</v>
      </c>
      <c r="AWR30" s="4">
        <v>0</v>
      </c>
      <c r="AWS30" s="4">
        <v>0</v>
      </c>
      <c r="AWT30" s="4">
        <v>0</v>
      </c>
      <c r="AWU30" s="4">
        <v>0</v>
      </c>
      <c r="AWV30" s="4">
        <v>0</v>
      </c>
      <c r="AWW30" s="4">
        <v>0</v>
      </c>
      <c r="AWX30" s="4">
        <v>0</v>
      </c>
      <c r="AWY30" s="4">
        <v>0</v>
      </c>
      <c r="AWZ30" s="4">
        <v>1</v>
      </c>
      <c r="AXA30" s="4">
        <v>3</v>
      </c>
      <c r="AXB30" s="4">
        <v>0</v>
      </c>
      <c r="AXC30" s="4">
        <v>0</v>
      </c>
      <c r="AXD30" s="4">
        <v>0</v>
      </c>
      <c r="AXE30" s="4">
        <v>0</v>
      </c>
      <c r="AXF30" s="4">
        <v>0</v>
      </c>
      <c r="AXG30" s="4">
        <v>0</v>
      </c>
      <c r="AXH30" s="4">
        <v>0</v>
      </c>
      <c r="AXI30" s="4">
        <v>0</v>
      </c>
      <c r="AXJ30" s="4">
        <v>0</v>
      </c>
      <c r="AXK30" s="4">
        <v>0</v>
      </c>
      <c r="AXL30" s="4">
        <v>0</v>
      </c>
      <c r="AXM30" s="4">
        <v>0</v>
      </c>
      <c r="AXN30" s="4">
        <v>0</v>
      </c>
      <c r="AXO30" s="4">
        <v>0</v>
      </c>
      <c r="AXP30" s="4">
        <v>0</v>
      </c>
      <c r="AXQ30" s="4">
        <v>0</v>
      </c>
      <c r="AXR30" s="4">
        <v>0</v>
      </c>
      <c r="AXS30" s="4">
        <v>0</v>
      </c>
      <c r="AXT30" s="4">
        <v>0</v>
      </c>
      <c r="AXU30" s="4">
        <v>0</v>
      </c>
      <c r="AXV30" s="4">
        <v>0</v>
      </c>
      <c r="AXW30" s="4">
        <v>0</v>
      </c>
      <c r="AXX30" s="4">
        <v>0</v>
      </c>
      <c r="AXY30" s="4">
        <v>0</v>
      </c>
      <c r="AXZ30" s="4">
        <v>0</v>
      </c>
      <c r="AYA30" s="4">
        <v>0</v>
      </c>
      <c r="AYB30" s="4">
        <v>0</v>
      </c>
      <c r="AYC30" s="4">
        <v>0</v>
      </c>
      <c r="AYD30" s="4">
        <v>0</v>
      </c>
      <c r="AYE30" s="4">
        <v>0</v>
      </c>
      <c r="AYF30" s="4">
        <v>0</v>
      </c>
      <c r="AYG30" s="4">
        <v>0</v>
      </c>
      <c r="AYH30" s="4">
        <v>0</v>
      </c>
      <c r="AYI30" s="4">
        <v>0</v>
      </c>
      <c r="AYJ30" s="4">
        <v>0</v>
      </c>
      <c r="AYK30" s="4">
        <v>0</v>
      </c>
      <c r="AYL30" s="4">
        <v>0</v>
      </c>
      <c r="AYM30" s="4">
        <v>0</v>
      </c>
      <c r="AYN30" s="4">
        <v>0</v>
      </c>
      <c r="AYO30" s="4">
        <v>0</v>
      </c>
      <c r="AYP30" s="4">
        <v>0</v>
      </c>
      <c r="AYQ30" s="4">
        <v>0</v>
      </c>
      <c r="AYR30" s="4">
        <v>0</v>
      </c>
      <c r="AYS30" s="4">
        <v>0</v>
      </c>
      <c r="AYT30" s="4">
        <v>0</v>
      </c>
      <c r="AYU30" s="4">
        <v>1</v>
      </c>
      <c r="AYV30" s="4">
        <v>0</v>
      </c>
      <c r="AYW30" s="4">
        <v>0</v>
      </c>
      <c r="AYX30" s="4">
        <v>0</v>
      </c>
      <c r="AYY30" s="4">
        <v>0</v>
      </c>
      <c r="AYZ30" s="4">
        <v>0</v>
      </c>
      <c r="AZA30" s="4">
        <v>0</v>
      </c>
      <c r="AZB30" s="4">
        <v>1</v>
      </c>
      <c r="AZC30" s="4">
        <v>0</v>
      </c>
      <c r="AZD30" s="4">
        <v>0</v>
      </c>
      <c r="AZE30" s="4">
        <v>0</v>
      </c>
      <c r="AZF30" s="4">
        <v>0</v>
      </c>
      <c r="AZG30" s="4">
        <v>0</v>
      </c>
      <c r="AZH30" s="4">
        <v>0</v>
      </c>
      <c r="AZI30" s="4">
        <v>0</v>
      </c>
      <c r="AZJ30" s="4">
        <v>0</v>
      </c>
      <c r="AZK30" s="4">
        <v>0</v>
      </c>
      <c r="AZL30" s="4">
        <v>0</v>
      </c>
      <c r="AZM30" s="4">
        <v>0</v>
      </c>
      <c r="AZN30" s="4">
        <v>1</v>
      </c>
      <c r="AZO30" s="4">
        <v>0</v>
      </c>
      <c r="AZP30" s="4">
        <v>0</v>
      </c>
      <c r="AZQ30" s="4">
        <v>0</v>
      </c>
      <c r="AZR30" s="4">
        <v>0</v>
      </c>
      <c r="AZS30" s="4">
        <v>0</v>
      </c>
      <c r="AZT30" s="4">
        <v>0</v>
      </c>
      <c r="AZU30" s="4">
        <v>0</v>
      </c>
      <c r="AZV30" s="4">
        <v>0</v>
      </c>
      <c r="AZW30" s="4">
        <v>0</v>
      </c>
      <c r="AZX30" s="4">
        <v>0</v>
      </c>
      <c r="AZY30" s="4">
        <v>0</v>
      </c>
      <c r="AZZ30" s="4">
        <v>0</v>
      </c>
      <c r="BAA30" s="4">
        <v>0</v>
      </c>
      <c r="BAB30" s="4">
        <v>0</v>
      </c>
      <c r="BAC30" s="4">
        <v>0</v>
      </c>
      <c r="BAD30" s="4">
        <v>0</v>
      </c>
      <c r="BAE30" s="4">
        <v>0</v>
      </c>
      <c r="BAF30" s="4">
        <v>0</v>
      </c>
      <c r="BAG30" s="4">
        <v>0</v>
      </c>
      <c r="BAH30" s="4">
        <v>0</v>
      </c>
      <c r="BAI30" s="4">
        <v>0</v>
      </c>
      <c r="BAJ30" s="4">
        <v>0</v>
      </c>
      <c r="BAK30" s="4">
        <v>0</v>
      </c>
      <c r="BAL30" s="4">
        <v>0</v>
      </c>
      <c r="BAM30" s="4">
        <v>0</v>
      </c>
      <c r="BAN30" s="4">
        <v>0</v>
      </c>
      <c r="BAO30" s="4">
        <v>0</v>
      </c>
      <c r="BAP30" s="4">
        <v>0</v>
      </c>
      <c r="BAQ30" s="4">
        <v>0</v>
      </c>
      <c r="BAR30" s="4">
        <v>0</v>
      </c>
      <c r="BAS30" s="4">
        <v>0</v>
      </c>
      <c r="BAT30" s="4">
        <v>0</v>
      </c>
      <c r="BAU30" s="4">
        <v>0</v>
      </c>
      <c r="BAV30" s="4">
        <v>0</v>
      </c>
      <c r="BAW30" s="4">
        <v>0</v>
      </c>
      <c r="BAX30" s="4">
        <v>0</v>
      </c>
      <c r="BAY30" s="4">
        <v>0</v>
      </c>
      <c r="BAZ30" s="4">
        <v>0</v>
      </c>
      <c r="BBA30" s="4">
        <v>0</v>
      </c>
      <c r="BBB30" s="4">
        <v>0</v>
      </c>
      <c r="BBC30" s="4">
        <v>0</v>
      </c>
      <c r="BBD30" s="4">
        <v>0</v>
      </c>
      <c r="BBE30" s="4">
        <v>0</v>
      </c>
      <c r="BBF30" s="4">
        <v>1</v>
      </c>
      <c r="BBG30" s="4">
        <v>0</v>
      </c>
      <c r="BBH30" s="4">
        <v>0</v>
      </c>
      <c r="BBI30" s="4">
        <v>0</v>
      </c>
      <c r="BBJ30" s="4">
        <v>0</v>
      </c>
      <c r="BBK30" s="4">
        <v>0</v>
      </c>
      <c r="BBL30" s="4">
        <v>0</v>
      </c>
      <c r="BBM30" s="4">
        <v>0</v>
      </c>
      <c r="BBN30" s="4">
        <v>0</v>
      </c>
      <c r="BBO30" s="4">
        <v>0</v>
      </c>
      <c r="BBP30" s="4">
        <v>0</v>
      </c>
      <c r="BBQ30" s="4">
        <v>4</v>
      </c>
      <c r="BBR30" s="4">
        <v>0</v>
      </c>
      <c r="BBS30" s="4">
        <v>0</v>
      </c>
      <c r="BBT30" s="4">
        <v>0</v>
      </c>
      <c r="BBU30" s="4">
        <v>0</v>
      </c>
      <c r="BBV30" s="4">
        <v>0</v>
      </c>
      <c r="BBW30" s="4">
        <v>0</v>
      </c>
      <c r="BBX30" s="4">
        <v>0</v>
      </c>
      <c r="BBY30" s="4">
        <v>0</v>
      </c>
      <c r="BBZ30" s="4">
        <v>0</v>
      </c>
      <c r="BCA30" s="4">
        <v>0</v>
      </c>
      <c r="BCB30" s="4">
        <v>0</v>
      </c>
      <c r="BCC30" s="4">
        <v>0</v>
      </c>
      <c r="BCD30" s="4">
        <v>0</v>
      </c>
      <c r="BCE30" s="4">
        <v>0</v>
      </c>
      <c r="BCF30" s="4">
        <v>0</v>
      </c>
      <c r="BCG30" s="4">
        <v>0</v>
      </c>
      <c r="BCH30" s="4">
        <v>0</v>
      </c>
      <c r="BCI30" s="4">
        <v>0</v>
      </c>
      <c r="BCJ30" s="4">
        <v>0</v>
      </c>
      <c r="BCK30" s="4">
        <v>0</v>
      </c>
      <c r="BCL30" s="4">
        <v>0</v>
      </c>
      <c r="BCM30" s="4">
        <v>0</v>
      </c>
      <c r="BCN30" s="4">
        <v>0</v>
      </c>
      <c r="BCO30" s="4">
        <v>0</v>
      </c>
      <c r="BCP30" s="4">
        <v>0</v>
      </c>
      <c r="BCQ30" s="4">
        <v>0</v>
      </c>
      <c r="BCR30" s="4">
        <v>1</v>
      </c>
      <c r="BCS30" s="4">
        <v>0</v>
      </c>
      <c r="BCT30" s="4">
        <v>0</v>
      </c>
      <c r="BCU30" s="4">
        <v>0</v>
      </c>
      <c r="BCV30" s="4">
        <v>0</v>
      </c>
      <c r="BCW30" s="4">
        <v>0</v>
      </c>
      <c r="BCX30" s="4">
        <v>0</v>
      </c>
      <c r="BCY30" s="4">
        <v>0</v>
      </c>
      <c r="BCZ30" s="4">
        <v>0</v>
      </c>
      <c r="BDA30" s="4">
        <v>0</v>
      </c>
      <c r="BDB30" s="4">
        <v>0</v>
      </c>
      <c r="BDC30" s="4">
        <v>0</v>
      </c>
      <c r="BDD30" s="4">
        <v>0</v>
      </c>
      <c r="BDE30" s="4">
        <v>1</v>
      </c>
      <c r="BDF30" s="4">
        <v>0</v>
      </c>
      <c r="BDG30" s="4">
        <v>0</v>
      </c>
      <c r="BDH30" s="4">
        <v>0</v>
      </c>
      <c r="BDI30" s="4">
        <v>0</v>
      </c>
      <c r="BDJ30" s="4">
        <v>0</v>
      </c>
      <c r="BDK30" s="4">
        <v>0</v>
      </c>
      <c r="BDL30" s="4">
        <v>0</v>
      </c>
      <c r="BDM30" s="4">
        <v>0</v>
      </c>
      <c r="BDN30" s="4">
        <v>0</v>
      </c>
      <c r="BDO30" s="4">
        <v>0</v>
      </c>
      <c r="BDP30" s="4">
        <v>0</v>
      </c>
      <c r="BDQ30" s="4">
        <v>0</v>
      </c>
      <c r="BDR30" s="4">
        <v>0</v>
      </c>
      <c r="BDS30" s="4">
        <v>0</v>
      </c>
      <c r="BDT30" s="4">
        <v>0</v>
      </c>
      <c r="BDU30" s="4">
        <v>0</v>
      </c>
      <c r="BDV30" s="4">
        <v>0</v>
      </c>
      <c r="BDW30" s="4">
        <v>2</v>
      </c>
      <c r="BDX30" s="4">
        <v>0</v>
      </c>
      <c r="BDY30" s="4">
        <v>0</v>
      </c>
      <c r="BDZ30" s="4">
        <v>0</v>
      </c>
      <c r="BEA30" s="4">
        <v>0</v>
      </c>
      <c r="BEB30" s="4">
        <v>0</v>
      </c>
      <c r="BEC30" s="4">
        <v>0</v>
      </c>
      <c r="BED30" s="4">
        <v>0</v>
      </c>
      <c r="BEE30" s="4">
        <v>0</v>
      </c>
      <c r="BEF30" s="4">
        <v>0</v>
      </c>
      <c r="BEG30" s="4">
        <v>0</v>
      </c>
      <c r="BEH30" s="4">
        <v>0</v>
      </c>
      <c r="BEI30" s="4">
        <v>0</v>
      </c>
      <c r="BEJ30" s="4">
        <v>0</v>
      </c>
      <c r="BEK30" s="4">
        <v>0</v>
      </c>
      <c r="BEL30" s="4">
        <v>0</v>
      </c>
      <c r="BEM30" s="4">
        <v>0</v>
      </c>
      <c r="BEN30" s="4">
        <v>0</v>
      </c>
      <c r="BEO30" s="4">
        <v>0</v>
      </c>
      <c r="BEP30" s="4">
        <v>0</v>
      </c>
      <c r="BEQ30" s="4">
        <v>0</v>
      </c>
      <c r="BER30" s="4">
        <v>0</v>
      </c>
      <c r="BES30" s="4">
        <v>0</v>
      </c>
      <c r="BET30" s="4">
        <v>0</v>
      </c>
      <c r="BEU30" s="4">
        <v>0</v>
      </c>
      <c r="BEV30" s="4">
        <v>0</v>
      </c>
      <c r="BEW30" s="4">
        <v>0</v>
      </c>
      <c r="BEX30" s="4">
        <v>0</v>
      </c>
      <c r="BEY30" s="4">
        <v>0</v>
      </c>
      <c r="BEZ30" s="4">
        <v>0</v>
      </c>
      <c r="BFA30" s="4">
        <v>0</v>
      </c>
      <c r="BFB30" s="4">
        <v>0</v>
      </c>
      <c r="BFC30" s="4">
        <v>0</v>
      </c>
      <c r="BFD30" s="4">
        <v>0</v>
      </c>
      <c r="BFE30" s="4">
        <v>0</v>
      </c>
      <c r="BFF30" s="4">
        <v>0</v>
      </c>
      <c r="BFG30" s="4">
        <v>0</v>
      </c>
      <c r="BFH30" s="4">
        <v>0</v>
      </c>
      <c r="BFI30" s="4">
        <v>0</v>
      </c>
      <c r="BFJ30" s="4">
        <v>0</v>
      </c>
      <c r="BFK30" s="4">
        <v>0</v>
      </c>
      <c r="BFL30" s="4">
        <v>0</v>
      </c>
      <c r="BFM30" s="4">
        <v>0</v>
      </c>
      <c r="BFN30" s="4">
        <v>0</v>
      </c>
      <c r="BFO30" s="4">
        <v>0</v>
      </c>
      <c r="BFP30" s="4">
        <v>0</v>
      </c>
      <c r="BFQ30" s="4">
        <v>1</v>
      </c>
      <c r="BFR30" s="4">
        <v>0</v>
      </c>
      <c r="BFS30" s="4">
        <v>0</v>
      </c>
      <c r="BFT30" s="4">
        <v>0</v>
      </c>
      <c r="BFU30" s="4">
        <v>0</v>
      </c>
      <c r="BFV30" s="4">
        <v>0</v>
      </c>
      <c r="BFW30" s="4">
        <v>0</v>
      </c>
      <c r="BFX30" s="4">
        <v>0</v>
      </c>
      <c r="BFY30" s="4">
        <v>0</v>
      </c>
      <c r="BFZ30" s="4">
        <v>0</v>
      </c>
      <c r="BGA30" s="4">
        <v>0</v>
      </c>
      <c r="BGB30" s="4">
        <v>0</v>
      </c>
      <c r="BGC30" s="4">
        <v>0</v>
      </c>
      <c r="BGD30" s="4">
        <v>0</v>
      </c>
      <c r="BGE30" s="4">
        <v>0</v>
      </c>
      <c r="BGF30" s="4">
        <v>0</v>
      </c>
      <c r="BGG30" s="4">
        <v>0</v>
      </c>
      <c r="BGH30" s="4">
        <v>0</v>
      </c>
      <c r="BGI30" s="4">
        <v>0</v>
      </c>
      <c r="BGJ30" s="4">
        <v>0</v>
      </c>
      <c r="BGK30" s="4">
        <v>0</v>
      </c>
      <c r="BGL30" s="4">
        <v>0</v>
      </c>
      <c r="BGM30" s="4">
        <v>0</v>
      </c>
      <c r="BGN30" s="4">
        <v>0</v>
      </c>
      <c r="BGO30" s="4">
        <v>0</v>
      </c>
      <c r="BGP30" s="4">
        <v>0</v>
      </c>
      <c r="BGQ30" s="4">
        <v>0</v>
      </c>
      <c r="BGR30" s="4">
        <v>0</v>
      </c>
      <c r="BGS30" s="4">
        <v>0</v>
      </c>
      <c r="BGT30" s="4">
        <v>0</v>
      </c>
      <c r="BGU30" s="4">
        <v>0</v>
      </c>
      <c r="BGV30" s="4">
        <v>0</v>
      </c>
      <c r="BGW30" s="4">
        <v>0</v>
      </c>
      <c r="BGX30" s="4">
        <v>0</v>
      </c>
      <c r="BGY30" s="4">
        <v>0</v>
      </c>
      <c r="BGZ30" s="4">
        <v>0</v>
      </c>
      <c r="BHA30" s="4">
        <v>0</v>
      </c>
      <c r="BHB30" s="4">
        <v>0</v>
      </c>
      <c r="BHC30" s="4">
        <v>0</v>
      </c>
      <c r="BHD30" s="4">
        <v>0</v>
      </c>
      <c r="BHE30" s="4">
        <v>0</v>
      </c>
      <c r="BHF30" s="4">
        <v>0</v>
      </c>
      <c r="BHG30" s="4">
        <v>0</v>
      </c>
      <c r="BHH30" s="4">
        <v>0</v>
      </c>
      <c r="BHI30" s="4">
        <v>0</v>
      </c>
      <c r="BHJ30" s="4">
        <v>0</v>
      </c>
      <c r="BHK30" s="4">
        <v>0</v>
      </c>
      <c r="BHL30" s="4">
        <v>0</v>
      </c>
      <c r="BHM30" s="4">
        <v>0</v>
      </c>
      <c r="BHN30" s="4">
        <v>0</v>
      </c>
      <c r="BHO30" s="4">
        <v>0</v>
      </c>
      <c r="BHP30" s="4">
        <v>0</v>
      </c>
      <c r="BHQ30" s="4">
        <v>0</v>
      </c>
      <c r="BHR30" s="4">
        <v>0</v>
      </c>
      <c r="BHS30" s="4">
        <v>0</v>
      </c>
      <c r="BHT30" s="4">
        <v>0</v>
      </c>
      <c r="BHU30" s="4">
        <v>0</v>
      </c>
      <c r="BHV30" s="4">
        <v>0</v>
      </c>
      <c r="BHW30" s="4">
        <v>0</v>
      </c>
      <c r="BHX30" s="4">
        <v>0</v>
      </c>
      <c r="BHY30" s="4">
        <v>0</v>
      </c>
      <c r="BHZ30" s="4">
        <v>0</v>
      </c>
      <c r="BIA30" s="4">
        <v>0</v>
      </c>
      <c r="BIB30" s="4">
        <v>0</v>
      </c>
      <c r="BIC30" s="4">
        <v>0</v>
      </c>
      <c r="BID30" s="4">
        <v>0</v>
      </c>
      <c r="BIE30" s="4">
        <v>0</v>
      </c>
      <c r="BIF30" s="4">
        <v>0</v>
      </c>
      <c r="BIG30" s="4">
        <v>0</v>
      </c>
      <c r="BIH30" s="4">
        <v>0</v>
      </c>
      <c r="BII30" s="4">
        <v>0</v>
      </c>
      <c r="BIJ30" s="4">
        <v>0</v>
      </c>
      <c r="BIK30" s="4">
        <v>0</v>
      </c>
      <c r="BIL30" s="4">
        <v>0</v>
      </c>
      <c r="BIM30" s="4">
        <v>0</v>
      </c>
      <c r="BIN30" s="4">
        <v>0</v>
      </c>
      <c r="BIO30" s="4">
        <v>0</v>
      </c>
      <c r="BIP30" s="4">
        <v>0</v>
      </c>
      <c r="BIQ30" s="4">
        <v>0</v>
      </c>
      <c r="BIR30" s="4">
        <v>0</v>
      </c>
      <c r="BIS30" s="4">
        <v>0</v>
      </c>
      <c r="BIT30" s="4">
        <v>0</v>
      </c>
      <c r="BIU30" s="4">
        <v>0</v>
      </c>
      <c r="BIV30" s="4">
        <v>0</v>
      </c>
      <c r="BIW30" s="4">
        <v>0</v>
      </c>
      <c r="BIX30" s="4">
        <v>0</v>
      </c>
      <c r="BIY30" s="4">
        <v>0</v>
      </c>
      <c r="BIZ30" s="4">
        <v>0</v>
      </c>
      <c r="BJA30" s="4">
        <v>0</v>
      </c>
      <c r="BJB30" s="4">
        <v>0</v>
      </c>
      <c r="BJC30" s="4">
        <v>0</v>
      </c>
      <c r="BJD30" s="4">
        <v>0</v>
      </c>
      <c r="BJE30" s="4">
        <v>0</v>
      </c>
      <c r="BJF30" s="4">
        <v>0</v>
      </c>
      <c r="BJG30" s="4">
        <v>0</v>
      </c>
      <c r="BJH30" s="4">
        <v>0</v>
      </c>
      <c r="BJI30" s="4">
        <v>0</v>
      </c>
      <c r="BJJ30" s="4">
        <v>0</v>
      </c>
      <c r="BJK30" s="4">
        <v>0</v>
      </c>
      <c r="BJL30" s="4">
        <v>0</v>
      </c>
      <c r="BJM30" s="4">
        <v>0</v>
      </c>
      <c r="BJN30" s="4">
        <v>0</v>
      </c>
      <c r="BJO30" s="4">
        <v>0</v>
      </c>
      <c r="BJP30" s="4">
        <v>0</v>
      </c>
      <c r="BJQ30" s="4">
        <v>0</v>
      </c>
      <c r="BJR30" s="4">
        <v>0</v>
      </c>
      <c r="BJS30" s="4">
        <v>0</v>
      </c>
      <c r="BJT30" s="4">
        <v>0</v>
      </c>
      <c r="BJU30" s="4">
        <v>0</v>
      </c>
      <c r="BJV30" s="4">
        <v>0</v>
      </c>
      <c r="BJW30" s="4">
        <v>0</v>
      </c>
      <c r="BJX30" s="4">
        <v>0</v>
      </c>
      <c r="BJY30" s="4">
        <v>0</v>
      </c>
      <c r="BJZ30" s="4">
        <v>0</v>
      </c>
      <c r="BKA30" s="4">
        <v>0</v>
      </c>
      <c r="BKB30" s="4">
        <v>0</v>
      </c>
      <c r="BKC30" s="4">
        <v>0</v>
      </c>
      <c r="BKD30" s="4">
        <v>0</v>
      </c>
      <c r="BKE30" s="4">
        <v>0</v>
      </c>
      <c r="BKF30" s="4">
        <v>0</v>
      </c>
      <c r="BKG30" s="4">
        <v>0</v>
      </c>
      <c r="BKH30" s="4">
        <v>0</v>
      </c>
      <c r="BKI30" s="4">
        <v>0</v>
      </c>
      <c r="BKJ30" s="4">
        <v>0</v>
      </c>
      <c r="BKK30" s="4">
        <v>0</v>
      </c>
      <c r="BKL30" s="4">
        <v>0</v>
      </c>
      <c r="BKM30" s="4">
        <v>0</v>
      </c>
      <c r="BKN30" s="4">
        <v>0</v>
      </c>
      <c r="BKO30" s="4">
        <v>0</v>
      </c>
      <c r="BKP30" s="4">
        <v>0</v>
      </c>
      <c r="BKQ30" s="4">
        <v>0</v>
      </c>
      <c r="BKR30" s="4">
        <v>0</v>
      </c>
      <c r="BKS30" s="4">
        <v>0</v>
      </c>
      <c r="BKT30" s="4">
        <v>0</v>
      </c>
      <c r="BKU30" s="4">
        <v>0</v>
      </c>
      <c r="BKV30" s="4">
        <v>0</v>
      </c>
      <c r="BKW30" s="4">
        <v>0</v>
      </c>
      <c r="BKX30" s="4">
        <v>0</v>
      </c>
      <c r="BKY30" s="4">
        <v>0</v>
      </c>
      <c r="BKZ30" s="4">
        <v>0</v>
      </c>
      <c r="BLA30" s="4">
        <v>0</v>
      </c>
      <c r="BLB30" s="4">
        <v>0</v>
      </c>
      <c r="BLC30" s="4">
        <v>0</v>
      </c>
      <c r="BLD30" s="4">
        <v>0</v>
      </c>
      <c r="BLE30" s="4">
        <v>0</v>
      </c>
      <c r="BLF30" s="4">
        <v>0</v>
      </c>
      <c r="BLG30" s="4">
        <v>0</v>
      </c>
      <c r="BLH30" s="4">
        <v>0</v>
      </c>
      <c r="BLI30" s="4">
        <v>0</v>
      </c>
      <c r="BLJ30" s="4">
        <v>0</v>
      </c>
      <c r="BLK30" s="4">
        <v>0</v>
      </c>
    </row>
    <row r="31" spans="1:1675" x14ac:dyDescent="0.2">
      <c r="A31">
        <v>3</v>
      </c>
      <c r="B31">
        <v>6</v>
      </c>
      <c r="C31">
        <f t="shared" si="0"/>
        <v>78</v>
      </c>
      <c r="D31">
        <f t="shared" si="3"/>
        <v>946</v>
      </c>
      <c r="E31">
        <f t="shared" si="4"/>
        <v>30</v>
      </c>
      <c r="F31">
        <f t="shared" si="2"/>
        <v>6</v>
      </c>
      <c r="G31">
        <f t="shared" si="5"/>
        <v>2</v>
      </c>
      <c r="H31" cm="1">
        <f t="array" ref="H31">_xlfn.IFS(P31=0, 1, P31=7, 2, P31=5, 3)</f>
        <v>3</v>
      </c>
      <c r="I31" cm="1">
        <f t="array" ref="I31">_xlfn.IFS(H31=1, IF(AC31=0, P31, PO31), H31=2, IF(AC31=0, P31, AFN31), H31=3, IF(AC31=0, P31, AVM31))</f>
        <v>6</v>
      </c>
      <c r="J31" cm="1">
        <f t="array" ref="J31">_xlfn.IFS(I31=0, 1, I31=1, 0, I31=2, 7, I31=7, 2, I31=5, 6, I31=6, 5)</f>
        <v>5</v>
      </c>
      <c r="K31" t="str" cm="1">
        <f t="array" ref="K31">_xlfn.IFNA(_xlfn.IFS(P31&lt;&gt;P32, 1, A31&lt;&gt;A32, IF(P32=P31, 1)), "")</f>
        <v/>
      </c>
      <c r="L31" t="str">
        <f t="shared" si="1"/>
        <v/>
      </c>
      <c r="M31" t="s">
        <v>1737</v>
      </c>
      <c r="N31" t="s">
        <v>1705</v>
      </c>
      <c r="P31">
        <v>5</v>
      </c>
      <c r="Q31">
        <v>23</v>
      </c>
      <c r="R31">
        <v>11</v>
      </c>
      <c r="S31">
        <v>20</v>
      </c>
      <c r="T31">
        <v>5</v>
      </c>
      <c r="U31">
        <v>0</v>
      </c>
      <c r="V31">
        <v>0</v>
      </c>
      <c r="W31">
        <v>4</v>
      </c>
      <c r="X31">
        <v>2</v>
      </c>
      <c r="Y31">
        <v>5</v>
      </c>
      <c r="Z31">
        <v>0</v>
      </c>
      <c r="AA31">
        <v>238</v>
      </c>
      <c r="AB31">
        <v>294</v>
      </c>
      <c r="AC31">
        <v>1</v>
      </c>
      <c r="AD31">
        <v>24</v>
      </c>
      <c r="AE31">
        <v>4</v>
      </c>
      <c r="AF31" t="s">
        <v>1678</v>
      </c>
      <c r="AG31">
        <v>7</v>
      </c>
      <c r="AH31" t="s">
        <v>1680</v>
      </c>
      <c r="AI31">
        <v>13</v>
      </c>
      <c r="AJ31">
        <v>27</v>
      </c>
      <c r="AK31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0.55000000000000004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2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4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6</v>
      </c>
      <c r="PP31">
        <v>50</v>
      </c>
      <c r="PQ31">
        <v>22</v>
      </c>
      <c r="PR31">
        <v>14</v>
      </c>
      <c r="PS31">
        <v>5</v>
      </c>
      <c r="PT31">
        <v>0</v>
      </c>
      <c r="PU31">
        <v>0</v>
      </c>
      <c r="PV31">
        <v>12</v>
      </c>
      <c r="PW31">
        <v>4</v>
      </c>
      <c r="PX31">
        <v>6</v>
      </c>
      <c r="PY31">
        <v>0</v>
      </c>
      <c r="PZ31">
        <v>252</v>
      </c>
      <c r="QA31">
        <v>294</v>
      </c>
      <c r="QB31">
        <v>0</v>
      </c>
      <c r="QC31">
        <v>50</v>
      </c>
      <c r="QD31">
        <v>4</v>
      </c>
      <c r="QE31" t="s">
        <v>1676</v>
      </c>
      <c r="QF31">
        <v>13</v>
      </c>
      <c r="QG31" t="s">
        <v>1671</v>
      </c>
      <c r="QH31">
        <v>9</v>
      </c>
      <c r="QI31">
        <v>75</v>
      </c>
      <c r="QJ31">
        <v>5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1.57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5</v>
      </c>
      <c r="RC31">
        <v>4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1</v>
      </c>
      <c r="SW31">
        <v>1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6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1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4</v>
      </c>
      <c r="UU31">
        <v>0</v>
      </c>
      <c r="UV31">
        <v>0</v>
      </c>
      <c r="UW31">
        <v>0</v>
      </c>
      <c r="UX31">
        <v>0</v>
      </c>
      <c r="UY31">
        <v>1</v>
      </c>
      <c r="UZ31">
        <v>0</v>
      </c>
      <c r="VA31">
        <v>2</v>
      </c>
      <c r="VB31">
        <v>0</v>
      </c>
      <c r="VC31">
        <v>0</v>
      </c>
      <c r="VD31">
        <v>0</v>
      </c>
      <c r="VE31">
        <v>0</v>
      </c>
      <c r="VF31">
        <v>2</v>
      </c>
      <c r="VG31">
        <v>0</v>
      </c>
      <c r="VH31">
        <v>1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6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1</v>
      </c>
      <c r="WP31">
        <v>0</v>
      </c>
      <c r="WQ31">
        <v>0</v>
      </c>
      <c r="WR31">
        <v>0</v>
      </c>
      <c r="WS31">
        <v>0</v>
      </c>
      <c r="WT31">
        <v>5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2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3</v>
      </c>
      <c r="XS31">
        <v>0</v>
      </c>
      <c r="XT31">
        <v>0</v>
      </c>
      <c r="XU31">
        <v>0</v>
      </c>
      <c r="XV31">
        <v>1</v>
      </c>
      <c r="XW31">
        <v>0</v>
      </c>
      <c r="XX31">
        <v>0</v>
      </c>
      <c r="XY31">
        <v>4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5</v>
      </c>
      <c r="AFO31">
        <v>20</v>
      </c>
      <c r="AFP31">
        <v>14</v>
      </c>
      <c r="AFQ31">
        <v>20</v>
      </c>
      <c r="AFR31">
        <v>5</v>
      </c>
      <c r="AFS31">
        <v>0</v>
      </c>
      <c r="AFT31">
        <v>0</v>
      </c>
      <c r="AFU31">
        <v>6</v>
      </c>
      <c r="AFV31">
        <v>4</v>
      </c>
      <c r="AFW31">
        <v>4</v>
      </c>
      <c r="AFX31">
        <v>0</v>
      </c>
      <c r="AFY31">
        <v>235</v>
      </c>
      <c r="AFZ31">
        <v>294</v>
      </c>
      <c r="AGA31">
        <v>1</v>
      </c>
      <c r="AGB31">
        <v>33</v>
      </c>
      <c r="AGC31">
        <v>2</v>
      </c>
      <c r="AGD31" t="s">
        <v>1680</v>
      </c>
      <c r="AGE31">
        <v>9</v>
      </c>
      <c r="AGF31" t="s">
        <v>1678</v>
      </c>
      <c r="AGG31">
        <v>11</v>
      </c>
      <c r="AGH31">
        <v>20</v>
      </c>
      <c r="AGI31">
        <v>4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0.7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5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1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3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1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4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1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1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3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3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2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7</v>
      </c>
      <c r="ANV31">
        <v>0</v>
      </c>
      <c r="ANW31">
        <v>0</v>
      </c>
      <c r="ANX31">
        <v>1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1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6</v>
      </c>
      <c r="AVN31">
        <v>100</v>
      </c>
      <c r="AVO31">
        <v>18</v>
      </c>
      <c r="AVP31">
        <v>12</v>
      </c>
      <c r="AVQ31">
        <v>6</v>
      </c>
      <c r="AVR31">
        <v>1</v>
      </c>
      <c r="AVS31">
        <v>0</v>
      </c>
      <c r="AVT31">
        <v>10</v>
      </c>
      <c r="AVU31">
        <v>3</v>
      </c>
      <c r="AVV31">
        <v>5</v>
      </c>
      <c r="AVW31">
        <v>0</v>
      </c>
      <c r="AVX31">
        <v>255</v>
      </c>
      <c r="AVY31">
        <v>294</v>
      </c>
      <c r="AVZ31">
        <v>0</v>
      </c>
      <c r="AWA31">
        <v>46</v>
      </c>
      <c r="AWB31">
        <v>3</v>
      </c>
      <c r="AWC31" t="s">
        <v>1671</v>
      </c>
      <c r="AWD31">
        <v>11</v>
      </c>
      <c r="AWE31" t="s">
        <v>1676</v>
      </c>
      <c r="AWF31">
        <v>7</v>
      </c>
      <c r="AWG31">
        <v>13</v>
      </c>
      <c r="AWH31">
        <v>4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1.5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6</v>
      </c>
      <c r="AXA31">
        <v>4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2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4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3</v>
      </c>
      <c r="BAS31">
        <v>0</v>
      </c>
      <c r="BAT31">
        <v>0</v>
      </c>
      <c r="BAU31">
        <v>0</v>
      </c>
      <c r="BAV31">
        <v>0</v>
      </c>
      <c r="BAW31">
        <v>1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6</v>
      </c>
      <c r="BBE31">
        <v>0</v>
      </c>
      <c r="BBF31">
        <v>2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7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2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2</v>
      </c>
      <c r="BDQ31">
        <v>0</v>
      </c>
      <c r="BDR31">
        <v>0</v>
      </c>
      <c r="BDS31">
        <v>0</v>
      </c>
      <c r="BDT31">
        <v>2</v>
      </c>
      <c r="BDU31">
        <v>0</v>
      </c>
      <c r="BDV31">
        <v>0</v>
      </c>
      <c r="BDW31">
        <v>2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1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2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</row>
    <row r="32" spans="1:1675" x14ac:dyDescent="0.2">
      <c r="A32">
        <v>3</v>
      </c>
      <c r="B32">
        <v>6</v>
      </c>
      <c r="C32">
        <f t="shared" si="0"/>
        <v>78</v>
      </c>
      <c r="D32">
        <f t="shared" si="3"/>
        <v>947</v>
      </c>
      <c r="E32">
        <f t="shared" si="4"/>
        <v>31</v>
      </c>
      <c r="F32">
        <f t="shared" si="2"/>
        <v>7</v>
      </c>
      <c r="G32">
        <f t="shared" si="5"/>
        <v>3</v>
      </c>
      <c r="H32" cm="1">
        <f t="array" ref="H32">_xlfn.IFS(P32=0, 1, P32=7, 2, P32=5, 3)</f>
        <v>3</v>
      </c>
      <c r="I32" cm="1">
        <f t="array" ref="I32">_xlfn.IFS(H32=1, IF(AC32=0, P32, PO32), H32=2, IF(AC32=0, P32, AFN32), H32=3, IF(AC32=0, P32, AVM32))</f>
        <v>5</v>
      </c>
      <c r="J32" cm="1">
        <f t="array" ref="J32">_xlfn.IFS(I32=0, 1, I32=1, 0, I32=2, 7, I32=7, 2, I32=5, 6, I32=6, 5)</f>
        <v>6</v>
      </c>
      <c r="K32" t="str" cm="1">
        <f t="array" ref="K32">_xlfn.IFNA(_xlfn.IFS(P32&lt;&gt;P33, 1, A32&lt;&gt;A33, IF(P33=P32, 1)), "")</f>
        <v/>
      </c>
      <c r="L32" t="str">
        <f t="shared" si="1"/>
        <v/>
      </c>
      <c r="M32" t="s">
        <v>1728</v>
      </c>
      <c r="N32" t="s">
        <v>1706</v>
      </c>
      <c r="P32">
        <v>5</v>
      </c>
      <c r="Q32">
        <v>84</v>
      </c>
      <c r="R32">
        <v>30</v>
      </c>
      <c r="S32">
        <v>20</v>
      </c>
      <c r="T32">
        <v>8</v>
      </c>
      <c r="U32">
        <v>0</v>
      </c>
      <c r="V32">
        <v>1</v>
      </c>
      <c r="W32">
        <v>21</v>
      </c>
      <c r="X32">
        <v>2</v>
      </c>
      <c r="Y32">
        <v>6</v>
      </c>
      <c r="Z32">
        <v>1</v>
      </c>
      <c r="AA32">
        <v>415</v>
      </c>
      <c r="AB32">
        <v>478</v>
      </c>
      <c r="AC32">
        <v>0</v>
      </c>
      <c r="AD32">
        <v>82</v>
      </c>
      <c r="AE32">
        <v>6</v>
      </c>
      <c r="AF32" t="s">
        <v>1680</v>
      </c>
      <c r="AG32">
        <v>17</v>
      </c>
      <c r="AH32" t="s">
        <v>1680</v>
      </c>
      <c r="AI32">
        <v>13</v>
      </c>
      <c r="AJ32">
        <v>13</v>
      </c>
      <c r="AK32">
        <v>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8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4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2</v>
      </c>
      <c r="FC32">
        <v>0</v>
      </c>
      <c r="FD32">
        <v>0</v>
      </c>
      <c r="FE32">
        <v>0</v>
      </c>
      <c r="FF32">
        <v>0</v>
      </c>
      <c r="FG32">
        <v>3</v>
      </c>
      <c r="FH32">
        <v>0</v>
      </c>
      <c r="FI32">
        <v>4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13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3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0</v>
      </c>
      <c r="HJ32">
        <v>4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</v>
      </c>
      <c r="HT32">
        <v>0</v>
      </c>
      <c r="HU32">
        <v>0</v>
      </c>
      <c r="HV32">
        <v>0</v>
      </c>
      <c r="HW32">
        <v>9</v>
      </c>
      <c r="HX32">
        <v>0</v>
      </c>
      <c r="HY32">
        <v>0</v>
      </c>
      <c r="HZ32">
        <v>5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2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6</v>
      </c>
      <c r="PP32">
        <v>75</v>
      </c>
      <c r="PQ32">
        <v>21</v>
      </c>
      <c r="PR32">
        <v>29</v>
      </c>
      <c r="PS32">
        <v>7</v>
      </c>
      <c r="PT32">
        <v>0</v>
      </c>
      <c r="PU32">
        <v>0</v>
      </c>
      <c r="PV32">
        <v>12</v>
      </c>
      <c r="PW32">
        <v>0</v>
      </c>
      <c r="PX32">
        <v>7</v>
      </c>
      <c r="PY32">
        <v>2</v>
      </c>
      <c r="PZ32">
        <v>392</v>
      </c>
      <c r="QA32">
        <v>478</v>
      </c>
      <c r="QB32">
        <v>1</v>
      </c>
      <c r="QC32">
        <v>57</v>
      </c>
      <c r="QD32">
        <v>4</v>
      </c>
      <c r="QE32" t="s">
        <v>1676</v>
      </c>
      <c r="QF32">
        <v>13</v>
      </c>
      <c r="QG32" t="s">
        <v>1676</v>
      </c>
      <c r="QH32">
        <v>17</v>
      </c>
      <c r="QI32">
        <v>115</v>
      </c>
      <c r="QJ32">
        <v>4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0.72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6</v>
      </c>
      <c r="RC32">
        <v>8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1</v>
      </c>
      <c r="SL32">
        <v>1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3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1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1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3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3</v>
      </c>
      <c r="VG32">
        <v>0</v>
      </c>
      <c r="VH32">
        <v>3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5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1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1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1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9</v>
      </c>
      <c r="XW32">
        <v>0</v>
      </c>
      <c r="XX32">
        <v>0</v>
      </c>
      <c r="XY32">
        <v>2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4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3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1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5</v>
      </c>
      <c r="AFO32">
        <v>66</v>
      </c>
      <c r="AFP32">
        <v>26</v>
      </c>
      <c r="AFQ32">
        <v>25</v>
      </c>
      <c r="AFR32">
        <v>9</v>
      </c>
      <c r="AFS32">
        <v>0</v>
      </c>
      <c r="AFT32">
        <v>1</v>
      </c>
      <c r="AFU32">
        <v>14</v>
      </c>
      <c r="AFV32">
        <v>0</v>
      </c>
      <c r="AFW32">
        <v>11</v>
      </c>
      <c r="AFX32">
        <v>1</v>
      </c>
      <c r="AFY32">
        <v>401</v>
      </c>
      <c r="AFZ32">
        <v>478</v>
      </c>
      <c r="AGA32">
        <v>0</v>
      </c>
      <c r="AGB32">
        <v>70</v>
      </c>
      <c r="AGC32">
        <v>4</v>
      </c>
      <c r="AGD32" t="s">
        <v>1678</v>
      </c>
      <c r="AGE32">
        <v>14</v>
      </c>
      <c r="AGF32" t="s">
        <v>1678</v>
      </c>
      <c r="AGG32">
        <v>16</v>
      </c>
      <c r="AGH32">
        <v>13</v>
      </c>
      <c r="AGI32">
        <v>8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1.04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9</v>
      </c>
      <c r="AHB32">
        <v>7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1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1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3</v>
      </c>
      <c r="AIV32">
        <v>4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4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1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3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2</v>
      </c>
      <c r="ALF32">
        <v>0</v>
      </c>
      <c r="ALG32">
        <v>4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10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7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2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9</v>
      </c>
      <c r="ANV32">
        <v>0</v>
      </c>
      <c r="ANW32">
        <v>0</v>
      </c>
      <c r="ANX32">
        <v>1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2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6</v>
      </c>
      <c r="AVN32">
        <v>71</v>
      </c>
      <c r="AVO32">
        <v>22</v>
      </c>
      <c r="AVP32">
        <v>27</v>
      </c>
      <c r="AVQ32">
        <v>2</v>
      </c>
      <c r="AVR32">
        <v>0</v>
      </c>
      <c r="AVS32">
        <v>0</v>
      </c>
      <c r="AVT32">
        <v>10</v>
      </c>
      <c r="AVU32">
        <v>2</v>
      </c>
      <c r="AVV32">
        <v>8</v>
      </c>
      <c r="AVW32">
        <v>2</v>
      </c>
      <c r="AVX32">
        <v>398</v>
      </c>
      <c r="AVY32">
        <v>478</v>
      </c>
      <c r="AVZ32">
        <v>1</v>
      </c>
      <c r="AWA32">
        <v>54</v>
      </c>
      <c r="AWB32">
        <v>4</v>
      </c>
      <c r="AWC32" t="s">
        <v>1671</v>
      </c>
      <c r="AWD32">
        <v>16</v>
      </c>
      <c r="AWE32" t="s">
        <v>1671</v>
      </c>
      <c r="AWF32">
        <v>14</v>
      </c>
      <c r="AWG32">
        <v>75</v>
      </c>
      <c r="AWH32">
        <v>7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0.81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2</v>
      </c>
      <c r="AXA32">
        <v>5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1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2</v>
      </c>
      <c r="AYU32">
        <v>5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2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1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2</v>
      </c>
      <c r="BAS32">
        <v>0</v>
      </c>
      <c r="BAT32">
        <v>0</v>
      </c>
      <c r="BAU32">
        <v>0</v>
      </c>
      <c r="BAV32">
        <v>0</v>
      </c>
      <c r="BAW32">
        <v>1</v>
      </c>
      <c r="BAX32">
        <v>0</v>
      </c>
      <c r="BAY32">
        <v>2</v>
      </c>
      <c r="BAZ32">
        <v>0</v>
      </c>
      <c r="BBA32">
        <v>0</v>
      </c>
      <c r="BBB32">
        <v>0</v>
      </c>
      <c r="BBC32">
        <v>0</v>
      </c>
      <c r="BBD32">
        <v>3</v>
      </c>
      <c r="BBE32">
        <v>0</v>
      </c>
      <c r="BBF32">
        <v>4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6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7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1</v>
      </c>
      <c r="BDQ32">
        <v>0</v>
      </c>
      <c r="BDR32">
        <v>0</v>
      </c>
      <c r="BDS32">
        <v>0</v>
      </c>
      <c r="BDT32">
        <v>6</v>
      </c>
      <c r="BDU32">
        <v>0</v>
      </c>
      <c r="BDV32">
        <v>0</v>
      </c>
      <c r="BDW32">
        <v>3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1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</row>
    <row r="33" spans="1:1675" x14ac:dyDescent="0.2">
      <c r="A33">
        <v>3</v>
      </c>
      <c r="B33">
        <v>6</v>
      </c>
      <c r="C33">
        <f t="shared" si="0"/>
        <v>78</v>
      </c>
      <c r="D33">
        <f t="shared" si="3"/>
        <v>948</v>
      </c>
      <c r="E33">
        <f t="shared" si="4"/>
        <v>32</v>
      </c>
      <c r="F33">
        <f t="shared" si="2"/>
        <v>8</v>
      </c>
      <c r="G33">
        <f t="shared" si="5"/>
        <v>4</v>
      </c>
      <c r="H33" cm="1">
        <f t="array" ref="H33">_xlfn.IFS(P33=0, 1, P33=7, 2, P33=5, 3)</f>
        <v>3</v>
      </c>
      <c r="I33" cm="1">
        <f t="array" ref="I33">_xlfn.IFS(H33=1, IF(AC33=0, P33, PO33), H33=2, IF(AC33=0, P33, AFN33), H33=3, IF(AC33=0, P33, AVM33))</f>
        <v>5</v>
      </c>
      <c r="J33" cm="1">
        <f t="array" ref="J33">_xlfn.IFS(I33=0, 1, I33=1, 0, I33=2, 7, I33=7, 2, I33=5, 6, I33=6, 5)</f>
        <v>6</v>
      </c>
      <c r="K33" t="str" cm="1">
        <f t="array" ref="K33">_xlfn.IFNA(_xlfn.IFS(P33&lt;&gt;P34, 1, A33&lt;&gt;A34, IF(P34=P33, 1)), "")</f>
        <v/>
      </c>
      <c r="L33" t="str">
        <f t="shared" si="1"/>
        <v/>
      </c>
      <c r="M33" t="s">
        <v>1745</v>
      </c>
      <c r="N33" t="s">
        <v>1708</v>
      </c>
      <c r="P33">
        <v>5</v>
      </c>
      <c r="Q33">
        <v>70</v>
      </c>
      <c r="R33">
        <v>18</v>
      </c>
      <c r="S33">
        <v>9</v>
      </c>
      <c r="T33">
        <v>2</v>
      </c>
      <c r="U33">
        <v>0</v>
      </c>
      <c r="V33">
        <v>0</v>
      </c>
      <c r="W33">
        <v>18</v>
      </c>
      <c r="X33">
        <v>0</v>
      </c>
      <c r="Y33">
        <v>0</v>
      </c>
      <c r="Z33">
        <v>0</v>
      </c>
      <c r="AA33">
        <v>405</v>
      </c>
      <c r="AB33">
        <v>432</v>
      </c>
      <c r="AC33">
        <v>0</v>
      </c>
      <c r="AD33">
        <v>40</v>
      </c>
      <c r="AE33">
        <v>5</v>
      </c>
      <c r="AF33" t="s">
        <v>1678</v>
      </c>
      <c r="AG33">
        <v>11</v>
      </c>
      <c r="AH33" t="s">
        <v>1680</v>
      </c>
      <c r="AI33">
        <v>8</v>
      </c>
      <c r="AJ33">
        <v>17</v>
      </c>
      <c r="AK33">
        <v>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</v>
      </c>
      <c r="BD33">
        <v>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5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7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3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2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4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7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6</v>
      </c>
      <c r="PP33">
        <v>33</v>
      </c>
      <c r="PQ33">
        <v>11</v>
      </c>
      <c r="PR33">
        <v>16</v>
      </c>
      <c r="PS33">
        <v>4</v>
      </c>
      <c r="PT33">
        <v>0</v>
      </c>
      <c r="PU33">
        <v>0</v>
      </c>
      <c r="PV33">
        <v>7</v>
      </c>
      <c r="PW33">
        <v>1</v>
      </c>
      <c r="PX33">
        <v>1</v>
      </c>
      <c r="PY33">
        <v>2</v>
      </c>
      <c r="PZ33">
        <v>384</v>
      </c>
      <c r="QA33">
        <v>432</v>
      </c>
      <c r="QB33">
        <v>1</v>
      </c>
      <c r="QC33">
        <v>32</v>
      </c>
      <c r="QD33">
        <v>3</v>
      </c>
      <c r="QE33" t="s">
        <v>1676</v>
      </c>
      <c r="QF33">
        <v>8</v>
      </c>
      <c r="QG33" t="s">
        <v>1671</v>
      </c>
      <c r="QH33">
        <v>9</v>
      </c>
      <c r="QI33">
        <v>13</v>
      </c>
      <c r="QJ33">
        <v>2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0.69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4</v>
      </c>
      <c r="RC33">
        <v>2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1</v>
      </c>
      <c r="SW33">
        <v>3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1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1</v>
      </c>
      <c r="VB33">
        <v>0</v>
      </c>
      <c r="VC33">
        <v>0</v>
      </c>
      <c r="VD33">
        <v>0</v>
      </c>
      <c r="VE33">
        <v>0</v>
      </c>
      <c r="VF33">
        <v>1</v>
      </c>
      <c r="VG33">
        <v>0</v>
      </c>
      <c r="VH33">
        <v>2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4</v>
      </c>
      <c r="VT33">
        <v>1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1</v>
      </c>
      <c r="WP33">
        <v>0</v>
      </c>
      <c r="WQ33">
        <v>0</v>
      </c>
      <c r="WR33">
        <v>0</v>
      </c>
      <c r="WS33">
        <v>0</v>
      </c>
      <c r="WT33">
        <v>1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1</v>
      </c>
      <c r="XS33">
        <v>0</v>
      </c>
      <c r="XT33">
        <v>0</v>
      </c>
      <c r="XU33">
        <v>0</v>
      </c>
      <c r="XV33">
        <v>4</v>
      </c>
      <c r="XW33">
        <v>0</v>
      </c>
      <c r="XX33">
        <v>0</v>
      </c>
      <c r="XY33">
        <v>2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1</v>
      </c>
      <c r="ZS33">
        <v>0</v>
      </c>
      <c r="ZT33">
        <v>0</v>
      </c>
      <c r="ZU33">
        <v>2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5</v>
      </c>
      <c r="AFO33">
        <v>80</v>
      </c>
      <c r="AFP33">
        <v>12</v>
      </c>
      <c r="AFQ33">
        <v>9</v>
      </c>
      <c r="AFR33">
        <v>3</v>
      </c>
      <c r="AFS33">
        <v>0</v>
      </c>
      <c r="AFT33">
        <v>0</v>
      </c>
      <c r="AFU33">
        <v>3</v>
      </c>
      <c r="AFV33">
        <v>0</v>
      </c>
      <c r="AFW33">
        <v>4</v>
      </c>
      <c r="AFX33">
        <v>5</v>
      </c>
      <c r="AFY33">
        <v>407</v>
      </c>
      <c r="AFZ33">
        <v>432</v>
      </c>
      <c r="AGA33">
        <v>0</v>
      </c>
      <c r="AGB33">
        <v>22</v>
      </c>
      <c r="AGC33">
        <v>3</v>
      </c>
      <c r="AGD33" t="s">
        <v>1680</v>
      </c>
      <c r="AGE33">
        <v>9</v>
      </c>
      <c r="AGF33" t="s">
        <v>1678</v>
      </c>
      <c r="AGG33">
        <v>6</v>
      </c>
      <c r="AGH33">
        <v>39</v>
      </c>
      <c r="AGI33">
        <v>4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1.33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3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1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4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2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2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1</v>
      </c>
      <c r="ANR33">
        <v>0</v>
      </c>
      <c r="ANS33">
        <v>0</v>
      </c>
      <c r="ANT33">
        <v>0</v>
      </c>
      <c r="ANU33">
        <v>2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1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1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2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3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6</v>
      </c>
      <c r="AVN33">
        <v>53</v>
      </c>
      <c r="AVO33">
        <v>7</v>
      </c>
      <c r="AVP33">
        <v>14</v>
      </c>
      <c r="AVQ33">
        <v>4</v>
      </c>
      <c r="AVR33">
        <v>0</v>
      </c>
      <c r="AVS33">
        <v>0</v>
      </c>
      <c r="AVT33">
        <v>6</v>
      </c>
      <c r="AVU33">
        <v>0</v>
      </c>
      <c r="AVV33">
        <v>1</v>
      </c>
      <c r="AVW33">
        <v>0</v>
      </c>
      <c r="AVX33">
        <v>390</v>
      </c>
      <c r="AVY33">
        <v>432</v>
      </c>
      <c r="AVZ33">
        <v>1</v>
      </c>
      <c r="AWA33">
        <v>30</v>
      </c>
      <c r="AWB33">
        <v>2</v>
      </c>
      <c r="AWC33" t="s">
        <v>1671</v>
      </c>
      <c r="AWD33">
        <v>6</v>
      </c>
      <c r="AWE33" t="s">
        <v>1676</v>
      </c>
      <c r="AWF33">
        <v>11</v>
      </c>
      <c r="AWG33">
        <v>19</v>
      </c>
      <c r="AWH33">
        <v>4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0.5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4</v>
      </c>
      <c r="AXA33">
        <v>2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1</v>
      </c>
      <c r="AYU33">
        <v>3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1</v>
      </c>
      <c r="AZN33">
        <v>1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2</v>
      </c>
      <c r="BBE33">
        <v>0</v>
      </c>
      <c r="BBF33">
        <v>1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1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1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4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1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1</v>
      </c>
      <c r="BDQ33">
        <v>0</v>
      </c>
      <c r="BDR33">
        <v>0</v>
      </c>
      <c r="BDS33">
        <v>0</v>
      </c>
      <c r="BDT33">
        <v>2</v>
      </c>
      <c r="BDU33">
        <v>0</v>
      </c>
      <c r="BDV33">
        <v>0</v>
      </c>
      <c r="BDW33">
        <v>1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1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3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</row>
    <row r="34" spans="1:1675" x14ac:dyDescent="0.2">
      <c r="A34">
        <v>3</v>
      </c>
      <c r="B34">
        <v>6</v>
      </c>
      <c r="C34">
        <f t="shared" ref="C34:C50" si="6">A34+75</f>
        <v>78</v>
      </c>
      <c r="D34">
        <f t="shared" si="3"/>
        <v>949</v>
      </c>
      <c r="E34">
        <f t="shared" si="4"/>
        <v>33</v>
      </c>
      <c r="F34">
        <f t="shared" si="2"/>
        <v>9</v>
      </c>
      <c r="G34">
        <f t="shared" si="5"/>
        <v>5</v>
      </c>
      <c r="H34" cm="1">
        <f t="array" ref="H34">_xlfn.IFS(P34=0, 1, P34=7, 2, P34=5, 3)</f>
        <v>3</v>
      </c>
      <c r="I34" cm="1">
        <f t="array" ref="I34">_xlfn.IFS(H34=1, IF(AC34=0, P34, PO34), H34=2, IF(AC34=0, P34, AFN34), H34=3, IF(AC34=0, P34, AVM34))</f>
        <v>6</v>
      </c>
      <c r="J34" cm="1">
        <f t="array" ref="J34">_xlfn.IFS(I34=0, 1, I34=1, 0, I34=2, 7, I34=7, 2, I34=5, 6, I34=6, 5)</f>
        <v>5</v>
      </c>
      <c r="K34" cm="1">
        <f t="array" ref="K34">_xlfn.IFNA(_xlfn.IFS(P34&lt;&gt;P35, 1, A34&lt;&gt;A35, IF(P35=P34, 1)), "")</f>
        <v>1</v>
      </c>
      <c r="L34">
        <f t="shared" ref="L34:L65" si="7">IF(K34=1,I34,"")</f>
        <v>6</v>
      </c>
      <c r="M34" t="s">
        <v>1736</v>
      </c>
      <c r="N34" t="s">
        <v>1709</v>
      </c>
      <c r="P34">
        <v>5</v>
      </c>
      <c r="Q34">
        <v>38</v>
      </c>
      <c r="R34">
        <v>22</v>
      </c>
      <c r="S34">
        <v>18</v>
      </c>
      <c r="T34">
        <v>3</v>
      </c>
      <c r="U34">
        <v>0</v>
      </c>
      <c r="V34">
        <v>0</v>
      </c>
      <c r="W34">
        <v>16</v>
      </c>
      <c r="X34">
        <v>4</v>
      </c>
      <c r="Y34">
        <v>1</v>
      </c>
      <c r="Z34">
        <v>1</v>
      </c>
      <c r="AA34">
        <v>298</v>
      </c>
      <c r="AB34">
        <v>352</v>
      </c>
      <c r="AC34">
        <v>1</v>
      </c>
      <c r="AD34">
        <v>53</v>
      </c>
      <c r="AE34">
        <v>4</v>
      </c>
      <c r="AF34" t="s">
        <v>1678</v>
      </c>
      <c r="AG34">
        <v>13</v>
      </c>
      <c r="AH34" t="s">
        <v>1678</v>
      </c>
      <c r="AI34">
        <v>9</v>
      </c>
      <c r="AJ34">
        <v>13</v>
      </c>
      <c r="AK34">
        <v>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4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2</v>
      </c>
      <c r="FC34">
        <v>0</v>
      </c>
      <c r="FD34">
        <v>0</v>
      </c>
      <c r="FE34">
        <v>0</v>
      </c>
      <c r="FF34">
        <v>0</v>
      </c>
      <c r="FG34">
        <v>2</v>
      </c>
      <c r="FH34">
        <v>0</v>
      </c>
      <c r="FI34">
        <v>8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9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0</v>
      </c>
      <c r="HU34">
        <v>0</v>
      </c>
      <c r="HV34">
        <v>0</v>
      </c>
      <c r="HW34">
        <v>5</v>
      </c>
      <c r="HX34">
        <v>0</v>
      </c>
      <c r="HY34">
        <v>0</v>
      </c>
      <c r="HZ34">
        <v>6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6</v>
      </c>
      <c r="PP34">
        <v>63</v>
      </c>
      <c r="PQ34">
        <v>20</v>
      </c>
      <c r="PR34">
        <v>15</v>
      </c>
      <c r="PS34">
        <v>8</v>
      </c>
      <c r="PT34">
        <v>0</v>
      </c>
      <c r="PU34">
        <v>0</v>
      </c>
      <c r="PV34">
        <v>12</v>
      </c>
      <c r="PW34">
        <v>4</v>
      </c>
      <c r="PX34">
        <v>4</v>
      </c>
      <c r="PY34">
        <v>0</v>
      </c>
      <c r="PZ34">
        <v>307</v>
      </c>
      <c r="QA34">
        <v>352</v>
      </c>
      <c r="QB34">
        <v>0</v>
      </c>
      <c r="QC34">
        <v>55</v>
      </c>
      <c r="QD34">
        <v>4</v>
      </c>
      <c r="QE34" t="s">
        <v>1671</v>
      </c>
      <c r="QF34">
        <v>11</v>
      </c>
      <c r="QG34" t="s">
        <v>1676</v>
      </c>
      <c r="QH34">
        <v>9</v>
      </c>
      <c r="QI34">
        <v>20</v>
      </c>
      <c r="QJ34">
        <v>3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1.33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7</v>
      </c>
      <c r="RC34">
        <v>5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1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1</v>
      </c>
      <c r="SW34">
        <v>1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2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1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1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3</v>
      </c>
      <c r="UU34">
        <v>1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2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6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3</v>
      </c>
      <c r="VT34">
        <v>1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1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2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1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3</v>
      </c>
      <c r="XS34">
        <v>0</v>
      </c>
      <c r="XT34">
        <v>0</v>
      </c>
      <c r="XU34">
        <v>0</v>
      </c>
      <c r="XV34">
        <v>7</v>
      </c>
      <c r="XW34">
        <v>0</v>
      </c>
      <c r="XX34">
        <v>0</v>
      </c>
      <c r="XY34">
        <v>1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2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1</v>
      </c>
      <c r="ZD34">
        <v>0</v>
      </c>
      <c r="ZE34">
        <v>2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5</v>
      </c>
      <c r="AFO34">
        <v>48</v>
      </c>
      <c r="AFP34">
        <v>9</v>
      </c>
      <c r="AFQ34">
        <v>19</v>
      </c>
      <c r="AFR34">
        <v>12</v>
      </c>
      <c r="AFS34">
        <v>0</v>
      </c>
      <c r="AFT34">
        <v>0</v>
      </c>
      <c r="AFU34">
        <v>6</v>
      </c>
      <c r="AFV34">
        <v>1</v>
      </c>
      <c r="AFW34">
        <v>2</v>
      </c>
      <c r="AFX34">
        <v>0</v>
      </c>
      <c r="AFY34">
        <v>295</v>
      </c>
      <c r="AFZ34">
        <v>352</v>
      </c>
      <c r="AGA34">
        <v>1</v>
      </c>
      <c r="AGB34">
        <v>36</v>
      </c>
      <c r="AGC34">
        <v>3</v>
      </c>
      <c r="AGD34" t="s">
        <v>1680</v>
      </c>
      <c r="AGE34">
        <v>6</v>
      </c>
      <c r="AGF34" t="s">
        <v>1680</v>
      </c>
      <c r="AGG34">
        <v>11</v>
      </c>
      <c r="AGH34">
        <v>13</v>
      </c>
      <c r="AGI34">
        <v>2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0.47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11</v>
      </c>
      <c r="AHB34">
        <v>3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3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1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1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4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5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2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2</v>
      </c>
      <c r="ANR34">
        <v>0</v>
      </c>
      <c r="ANS34">
        <v>0</v>
      </c>
      <c r="ANT34">
        <v>0</v>
      </c>
      <c r="ANU34">
        <v>3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1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6</v>
      </c>
      <c r="AVN34">
        <v>87</v>
      </c>
      <c r="AVO34">
        <v>17</v>
      </c>
      <c r="AVP34">
        <v>17</v>
      </c>
      <c r="AVQ34">
        <v>3</v>
      </c>
      <c r="AVR34">
        <v>0</v>
      </c>
      <c r="AVS34">
        <v>1</v>
      </c>
      <c r="AVT34">
        <v>12</v>
      </c>
      <c r="AVU34">
        <v>1</v>
      </c>
      <c r="AVV34">
        <v>3</v>
      </c>
      <c r="AVW34">
        <v>1</v>
      </c>
      <c r="AVX34">
        <v>301</v>
      </c>
      <c r="AVY34">
        <v>352</v>
      </c>
      <c r="AVZ34">
        <v>0</v>
      </c>
      <c r="AWA34">
        <v>37</v>
      </c>
      <c r="AWB34">
        <v>4</v>
      </c>
      <c r="AWC34" t="s">
        <v>1676</v>
      </c>
      <c r="AWD34">
        <v>9</v>
      </c>
      <c r="AWE34" t="s">
        <v>1676</v>
      </c>
      <c r="AWF34">
        <v>13</v>
      </c>
      <c r="AWG34">
        <v>13</v>
      </c>
      <c r="AWH34">
        <v>6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1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3</v>
      </c>
      <c r="AXA34">
        <v>1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1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1</v>
      </c>
      <c r="AYU34">
        <v>1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2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2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1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1</v>
      </c>
      <c r="BAZ34">
        <v>0</v>
      </c>
      <c r="BBA34">
        <v>0</v>
      </c>
      <c r="BBB34">
        <v>0</v>
      </c>
      <c r="BBC34">
        <v>0</v>
      </c>
      <c r="BBD34">
        <v>1</v>
      </c>
      <c r="BBE34">
        <v>0</v>
      </c>
      <c r="BBF34">
        <v>5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8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3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1</v>
      </c>
      <c r="BDQ34">
        <v>0</v>
      </c>
      <c r="BDR34">
        <v>0</v>
      </c>
      <c r="BDS34">
        <v>0</v>
      </c>
      <c r="BDT34">
        <v>4</v>
      </c>
      <c r="BDU34">
        <v>0</v>
      </c>
      <c r="BDV34">
        <v>0</v>
      </c>
      <c r="BDW34">
        <v>2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</row>
    <row r="35" spans="1:1675" x14ac:dyDescent="0.2">
      <c r="A35">
        <v>3</v>
      </c>
      <c r="B35">
        <v>6</v>
      </c>
      <c r="C35">
        <f t="shared" si="6"/>
        <v>78</v>
      </c>
      <c r="D35">
        <f t="shared" si="3"/>
        <v>950</v>
      </c>
      <c r="E35">
        <f t="shared" si="4"/>
        <v>34</v>
      </c>
      <c r="F35">
        <f t="shared" ref="F35:F50" si="8">IF(A35=A34,F34+1,1)</f>
        <v>10</v>
      </c>
      <c r="G35">
        <f t="shared" si="5"/>
        <v>1</v>
      </c>
      <c r="H35" cm="1">
        <f t="array" ref="H35">_xlfn.IFS(P35=0, 1, P35=7, 2, P35=5, 3)</f>
        <v>2</v>
      </c>
      <c r="I35" cm="1">
        <f t="array" ref="I35">_xlfn.IFS(H35=1, IF(AC35=0, P35, PO35), H35=2, IF(AC35=0, P35, AFN35), H35=3, IF(AC35=0, P35, AVM35))</f>
        <v>7</v>
      </c>
      <c r="J35" cm="1">
        <f t="array" ref="J35">_xlfn.IFS(I35=0, 1, I35=1, 0, I35=2, 7, I35=7, 2, I35=5, 6, I35=6, 5)</f>
        <v>2</v>
      </c>
      <c r="K35" t="str" cm="1">
        <f t="array" ref="K35">_xlfn.IFNA(_xlfn.IFS(P35&lt;&gt;P36, 1, A35&lt;&gt;A36, IF(P36=P35, 1)), "")</f>
        <v/>
      </c>
      <c r="L35" t="str">
        <f t="shared" si="7"/>
        <v/>
      </c>
      <c r="M35" t="s">
        <v>1741</v>
      </c>
      <c r="N35" t="s">
        <v>1710</v>
      </c>
      <c r="P35">
        <v>7</v>
      </c>
      <c r="Q35">
        <v>78</v>
      </c>
      <c r="R35">
        <v>17</v>
      </c>
      <c r="S35">
        <v>15</v>
      </c>
      <c r="T35">
        <v>6</v>
      </c>
      <c r="U35">
        <v>0</v>
      </c>
      <c r="V35">
        <v>0</v>
      </c>
      <c r="W35">
        <v>17</v>
      </c>
      <c r="X35">
        <v>0</v>
      </c>
      <c r="Y35">
        <v>0</v>
      </c>
      <c r="Z35">
        <v>0</v>
      </c>
      <c r="AA35">
        <v>425</v>
      </c>
      <c r="AB35">
        <v>470</v>
      </c>
      <c r="AC35">
        <v>0</v>
      </c>
      <c r="AD35">
        <v>43</v>
      </c>
      <c r="AE35">
        <v>6</v>
      </c>
      <c r="AF35" t="s">
        <v>1678</v>
      </c>
      <c r="AG35">
        <v>9</v>
      </c>
      <c r="AH35" t="s">
        <v>1678</v>
      </c>
      <c r="AI35">
        <v>8</v>
      </c>
      <c r="AJ35">
        <v>13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1.1299999999999999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6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3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3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6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5</v>
      </c>
      <c r="HX35">
        <v>0</v>
      </c>
      <c r="HY35">
        <v>0</v>
      </c>
      <c r="HZ35">
        <v>4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7</v>
      </c>
      <c r="PP35">
        <v>72</v>
      </c>
      <c r="PQ35">
        <v>18</v>
      </c>
      <c r="PR35">
        <v>16</v>
      </c>
      <c r="PS35">
        <v>4</v>
      </c>
      <c r="PT35">
        <v>0</v>
      </c>
      <c r="PU35">
        <v>0</v>
      </c>
      <c r="PV35">
        <v>13</v>
      </c>
      <c r="PW35">
        <v>1</v>
      </c>
      <c r="PX35">
        <v>4</v>
      </c>
      <c r="PY35">
        <v>0</v>
      </c>
      <c r="PZ35">
        <v>422</v>
      </c>
      <c r="QA35">
        <v>470</v>
      </c>
      <c r="QB35">
        <v>0</v>
      </c>
      <c r="QC35">
        <v>51</v>
      </c>
      <c r="QD35">
        <v>4</v>
      </c>
      <c r="QE35" t="s">
        <v>1671</v>
      </c>
      <c r="QF35">
        <v>9</v>
      </c>
      <c r="QG35" t="s">
        <v>1671</v>
      </c>
      <c r="QH35">
        <v>10</v>
      </c>
      <c r="QI35">
        <v>75</v>
      </c>
      <c r="QJ35">
        <v>4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1.1200000000000001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4</v>
      </c>
      <c r="RC35">
        <v>5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1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3</v>
      </c>
      <c r="SW35">
        <v>1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2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1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1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6</v>
      </c>
      <c r="VB35">
        <v>0</v>
      </c>
      <c r="VC35">
        <v>0</v>
      </c>
      <c r="VD35">
        <v>0</v>
      </c>
      <c r="VE35">
        <v>0</v>
      </c>
      <c r="VF35">
        <v>2</v>
      </c>
      <c r="VG35">
        <v>0</v>
      </c>
      <c r="VH35">
        <v>5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4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3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1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2</v>
      </c>
      <c r="XS35">
        <v>0</v>
      </c>
      <c r="XT35">
        <v>0</v>
      </c>
      <c r="XU35">
        <v>0</v>
      </c>
      <c r="XV35">
        <v>7</v>
      </c>
      <c r="XW35">
        <v>0</v>
      </c>
      <c r="XX35">
        <v>0</v>
      </c>
      <c r="XY35">
        <v>2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1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2</v>
      </c>
      <c r="AFO35">
        <v>63</v>
      </c>
      <c r="AFP35">
        <v>17</v>
      </c>
      <c r="AFQ35">
        <v>17</v>
      </c>
      <c r="AFR35">
        <v>2</v>
      </c>
      <c r="AFS35">
        <v>0</v>
      </c>
      <c r="AFT35">
        <v>0</v>
      </c>
      <c r="AFU35">
        <v>13</v>
      </c>
      <c r="AFV35">
        <v>3</v>
      </c>
      <c r="AFW35">
        <v>1</v>
      </c>
      <c r="AFX35">
        <v>0</v>
      </c>
      <c r="AFY35">
        <v>419</v>
      </c>
      <c r="AFZ35">
        <v>470</v>
      </c>
      <c r="AGA35">
        <v>1</v>
      </c>
      <c r="AGB35">
        <v>43</v>
      </c>
      <c r="AGC35">
        <v>4</v>
      </c>
      <c r="AGD35" t="s">
        <v>1680</v>
      </c>
      <c r="AGE35">
        <v>10</v>
      </c>
      <c r="AGF35" t="s">
        <v>1680</v>
      </c>
      <c r="AGG35">
        <v>9</v>
      </c>
      <c r="AGH35">
        <v>13</v>
      </c>
      <c r="AGI35">
        <v>4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1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2</v>
      </c>
      <c r="AHB35">
        <v>4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1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2</v>
      </c>
      <c r="AKT35">
        <v>1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4</v>
      </c>
      <c r="ALA35">
        <v>0</v>
      </c>
      <c r="ALB35">
        <v>0</v>
      </c>
      <c r="ALC35">
        <v>0</v>
      </c>
      <c r="ALD35">
        <v>0</v>
      </c>
      <c r="ALE35">
        <v>3</v>
      </c>
      <c r="ALF35">
        <v>0</v>
      </c>
      <c r="ALG35">
        <v>6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8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1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1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1</v>
      </c>
      <c r="ANR35">
        <v>0</v>
      </c>
      <c r="ANS35">
        <v>0</v>
      </c>
      <c r="ANT35">
        <v>0</v>
      </c>
      <c r="ANU35">
        <v>7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1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2</v>
      </c>
      <c r="AVN35">
        <v>62</v>
      </c>
      <c r="AVO35">
        <v>14</v>
      </c>
      <c r="AVP35">
        <v>18</v>
      </c>
      <c r="AVQ35">
        <v>7</v>
      </c>
      <c r="AVR35">
        <v>0</v>
      </c>
      <c r="AVS35">
        <v>0</v>
      </c>
      <c r="AVT35">
        <v>11</v>
      </c>
      <c r="AVU35">
        <v>0</v>
      </c>
      <c r="AVV35">
        <v>3</v>
      </c>
      <c r="AVW35">
        <v>0</v>
      </c>
      <c r="AVX35">
        <v>416</v>
      </c>
      <c r="AVY35">
        <v>470</v>
      </c>
      <c r="AVZ35">
        <v>1</v>
      </c>
      <c r="AWA35">
        <v>35</v>
      </c>
      <c r="AWB35">
        <v>3</v>
      </c>
      <c r="AWC35" t="s">
        <v>1676</v>
      </c>
      <c r="AWD35">
        <v>8</v>
      </c>
      <c r="AWE35" t="s">
        <v>1676</v>
      </c>
      <c r="AWF35">
        <v>9</v>
      </c>
      <c r="AWG35">
        <v>13</v>
      </c>
      <c r="AWH35">
        <v>6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0.78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6</v>
      </c>
      <c r="AXA35">
        <v>2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1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1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2</v>
      </c>
      <c r="BBE35">
        <v>0</v>
      </c>
      <c r="BBF35">
        <v>3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6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3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1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5</v>
      </c>
      <c r="BDU35">
        <v>0</v>
      </c>
      <c r="BDV35">
        <v>0</v>
      </c>
      <c r="BDW35">
        <v>2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1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1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1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</row>
    <row r="36" spans="1:1675" x14ac:dyDescent="0.2">
      <c r="A36">
        <v>3</v>
      </c>
      <c r="B36">
        <v>6</v>
      </c>
      <c r="C36">
        <f t="shared" si="6"/>
        <v>78</v>
      </c>
      <c r="D36">
        <f t="shared" si="3"/>
        <v>951</v>
      </c>
      <c r="E36">
        <f t="shared" si="4"/>
        <v>35</v>
      </c>
      <c r="F36">
        <f t="shared" si="8"/>
        <v>11</v>
      </c>
      <c r="G36">
        <f t="shared" si="5"/>
        <v>2</v>
      </c>
      <c r="H36" cm="1">
        <f t="array" ref="H36">_xlfn.IFS(P36=0, 1, P36=7, 2, P36=5, 3)</f>
        <v>2</v>
      </c>
      <c r="I36" cm="1">
        <f t="array" ref="I36">_xlfn.IFS(H36=1, IF(AC36=0, P36, PO36), H36=2, IF(AC36=0, P36, AFN36), H36=3, IF(AC36=0, P36, AVM36))</f>
        <v>7</v>
      </c>
      <c r="J36" cm="1">
        <f t="array" ref="J36">_xlfn.IFS(I36=0, 1, I36=1, 0, I36=2, 7, I36=7, 2, I36=5, 6, I36=6, 5)</f>
        <v>2</v>
      </c>
      <c r="K36" t="str" cm="1">
        <f t="array" ref="K36">_xlfn.IFNA(_xlfn.IFS(P36&lt;&gt;P37, 1, A36&lt;&gt;A37, IF(P37=P36, 1)), "")</f>
        <v/>
      </c>
      <c r="L36" t="str">
        <f t="shared" si="7"/>
        <v/>
      </c>
      <c r="M36" t="s">
        <v>1729</v>
      </c>
      <c r="N36" t="s">
        <v>1711</v>
      </c>
      <c r="P36">
        <v>7</v>
      </c>
      <c r="Q36">
        <v>89</v>
      </c>
      <c r="R36">
        <v>21</v>
      </c>
      <c r="S36">
        <v>11</v>
      </c>
      <c r="T36">
        <v>7</v>
      </c>
      <c r="U36">
        <v>0</v>
      </c>
      <c r="V36">
        <v>0</v>
      </c>
      <c r="W36">
        <v>15</v>
      </c>
      <c r="X36">
        <v>3</v>
      </c>
      <c r="Y36">
        <v>3</v>
      </c>
      <c r="Z36">
        <v>0</v>
      </c>
      <c r="AA36">
        <v>362</v>
      </c>
      <c r="AB36">
        <v>394</v>
      </c>
      <c r="AC36">
        <v>0</v>
      </c>
      <c r="AD36">
        <v>52</v>
      </c>
      <c r="AE36">
        <v>7</v>
      </c>
      <c r="AF36" t="s">
        <v>1678</v>
      </c>
      <c r="AG36">
        <v>14</v>
      </c>
      <c r="AH36" t="s">
        <v>1678</v>
      </c>
      <c r="AI36">
        <v>8</v>
      </c>
      <c r="AJ36">
        <v>13</v>
      </c>
      <c r="AK36">
        <v>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1.91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7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3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</v>
      </c>
      <c r="FC36">
        <v>0</v>
      </c>
      <c r="FD36">
        <v>0</v>
      </c>
      <c r="FE36">
        <v>0</v>
      </c>
      <c r="FF36">
        <v>0</v>
      </c>
      <c r="FG36">
        <v>3</v>
      </c>
      <c r="FH36">
        <v>0</v>
      </c>
      <c r="FI36">
        <v>6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9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3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3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2</v>
      </c>
      <c r="HT36">
        <v>0</v>
      </c>
      <c r="HU36">
        <v>0</v>
      </c>
      <c r="HV36">
        <v>0</v>
      </c>
      <c r="HW36">
        <v>5</v>
      </c>
      <c r="HX36">
        <v>0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7</v>
      </c>
      <c r="PP36">
        <v>61</v>
      </c>
      <c r="PQ36">
        <v>16</v>
      </c>
      <c r="PR36">
        <v>12</v>
      </c>
      <c r="PS36">
        <v>8</v>
      </c>
      <c r="PT36">
        <v>0</v>
      </c>
      <c r="PU36">
        <v>0</v>
      </c>
      <c r="PV36">
        <v>8</v>
      </c>
      <c r="PW36">
        <v>1</v>
      </c>
      <c r="PX36">
        <v>7</v>
      </c>
      <c r="PY36">
        <v>0</v>
      </c>
      <c r="PZ36">
        <v>359</v>
      </c>
      <c r="QA36">
        <v>395</v>
      </c>
      <c r="QB36">
        <v>0</v>
      </c>
      <c r="QC36">
        <v>41</v>
      </c>
      <c r="QD36">
        <v>5</v>
      </c>
      <c r="QE36" t="s">
        <v>1671</v>
      </c>
      <c r="QF36">
        <v>10</v>
      </c>
      <c r="QG36" t="s">
        <v>1678</v>
      </c>
      <c r="QH36">
        <v>6</v>
      </c>
      <c r="QI36">
        <v>75</v>
      </c>
      <c r="QJ36">
        <v>6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1.33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8</v>
      </c>
      <c r="RC36">
        <v>3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1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1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2</v>
      </c>
      <c r="SW36">
        <v>1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1</v>
      </c>
      <c r="UU36">
        <v>0</v>
      </c>
      <c r="UV36">
        <v>0</v>
      </c>
      <c r="UW36">
        <v>0</v>
      </c>
      <c r="UX36">
        <v>0</v>
      </c>
      <c r="UY36">
        <v>1</v>
      </c>
      <c r="UZ36">
        <v>0</v>
      </c>
      <c r="VA36">
        <v>2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2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2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1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1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6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2</v>
      </c>
      <c r="XS36">
        <v>0</v>
      </c>
      <c r="XT36">
        <v>0</v>
      </c>
      <c r="XU36">
        <v>0</v>
      </c>
      <c r="XV36">
        <v>5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1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1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2</v>
      </c>
      <c r="AFO36">
        <v>36</v>
      </c>
      <c r="AFP36">
        <v>9</v>
      </c>
      <c r="AFQ36">
        <v>17</v>
      </c>
      <c r="AFR36">
        <v>2</v>
      </c>
      <c r="AFS36">
        <v>0</v>
      </c>
      <c r="AFT36">
        <v>0</v>
      </c>
      <c r="AFU36">
        <v>6</v>
      </c>
      <c r="AFV36">
        <v>2</v>
      </c>
      <c r="AFW36">
        <v>1</v>
      </c>
      <c r="AFX36">
        <v>0</v>
      </c>
      <c r="AFY36">
        <v>345</v>
      </c>
      <c r="AFZ36">
        <v>394</v>
      </c>
      <c r="AGA36">
        <v>1</v>
      </c>
      <c r="AGB36">
        <v>20</v>
      </c>
      <c r="AGC36">
        <v>4</v>
      </c>
      <c r="AGD36" t="s">
        <v>1680</v>
      </c>
      <c r="AGE36">
        <v>6</v>
      </c>
      <c r="AGF36" t="s">
        <v>1680</v>
      </c>
      <c r="AGG36">
        <v>10</v>
      </c>
      <c r="AGH36">
        <v>20</v>
      </c>
      <c r="AGI36">
        <v>2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0.53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1</v>
      </c>
      <c r="AHB36">
        <v>3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2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1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2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3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2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1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1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1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1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1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1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2</v>
      </c>
      <c r="AVN36">
        <v>40</v>
      </c>
      <c r="AVO36">
        <v>14</v>
      </c>
      <c r="AVP36">
        <v>20</v>
      </c>
      <c r="AVQ36">
        <v>4</v>
      </c>
      <c r="AVR36">
        <v>0</v>
      </c>
      <c r="AVS36">
        <v>0</v>
      </c>
      <c r="AVT36">
        <v>7</v>
      </c>
      <c r="AVU36">
        <v>1</v>
      </c>
      <c r="AVV36">
        <v>6</v>
      </c>
      <c r="AVW36">
        <v>0</v>
      </c>
      <c r="AVX36">
        <v>335</v>
      </c>
      <c r="AVY36">
        <v>394</v>
      </c>
      <c r="AVZ36">
        <v>1</v>
      </c>
      <c r="AWA36">
        <v>36</v>
      </c>
      <c r="AWB36">
        <v>3</v>
      </c>
      <c r="AWC36" t="s">
        <v>1676</v>
      </c>
      <c r="AWD36">
        <v>8</v>
      </c>
      <c r="AWE36" t="s">
        <v>1676</v>
      </c>
      <c r="AWF36">
        <v>14</v>
      </c>
      <c r="AWG36">
        <v>27</v>
      </c>
      <c r="AWH36">
        <v>3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0.7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4</v>
      </c>
      <c r="AXA36">
        <v>4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1</v>
      </c>
      <c r="AYU36">
        <v>2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1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1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1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3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4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1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3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1</v>
      </c>
      <c r="BDQ36">
        <v>0</v>
      </c>
      <c r="BDR36">
        <v>0</v>
      </c>
      <c r="BDS36">
        <v>0</v>
      </c>
      <c r="BDT36">
        <v>5</v>
      </c>
      <c r="BDU36">
        <v>0</v>
      </c>
      <c r="BDV36">
        <v>0</v>
      </c>
      <c r="BDW36">
        <v>2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3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</row>
    <row r="37" spans="1:1675" x14ac:dyDescent="0.2">
      <c r="A37">
        <v>3</v>
      </c>
      <c r="B37">
        <v>6</v>
      </c>
      <c r="C37">
        <f t="shared" si="6"/>
        <v>78</v>
      </c>
      <c r="D37">
        <f t="shared" si="3"/>
        <v>952</v>
      </c>
      <c r="E37">
        <f t="shared" si="4"/>
        <v>36</v>
      </c>
      <c r="F37">
        <f t="shared" si="8"/>
        <v>12</v>
      </c>
      <c r="G37">
        <f t="shared" si="5"/>
        <v>3</v>
      </c>
      <c r="H37" cm="1">
        <f t="array" ref="H37">_xlfn.IFS(P37=0, 1, P37=7, 2, P37=5, 3)</f>
        <v>2</v>
      </c>
      <c r="I37" cm="1">
        <f t="array" ref="I37">_xlfn.IFS(H37=1, IF(AC37=0, P37, PO37), H37=2, IF(AC37=0, P37, AFN37), H37=3, IF(AC37=0, P37, AVM37))</f>
        <v>7</v>
      </c>
      <c r="J37" cm="1">
        <f t="array" ref="J37">_xlfn.IFS(I37=0, 1, I37=1, 0, I37=2, 7, I37=7, 2, I37=5, 6, I37=6, 5)</f>
        <v>2</v>
      </c>
      <c r="K37" cm="1">
        <f t="array" ref="K37">_xlfn.IFNA(_xlfn.IFS(P37&lt;&gt;P38, 1, A37&lt;&gt;A38, IF(P38=P37, 1)), "")</f>
        <v>1</v>
      </c>
      <c r="L37">
        <f t="shared" si="7"/>
        <v>7</v>
      </c>
      <c r="M37" t="s">
        <v>1726</v>
      </c>
      <c r="N37" t="s">
        <v>1712</v>
      </c>
      <c r="P37">
        <v>7</v>
      </c>
      <c r="Q37">
        <v>94</v>
      </c>
      <c r="R37">
        <v>25</v>
      </c>
      <c r="S37">
        <v>13</v>
      </c>
      <c r="T37">
        <v>6</v>
      </c>
      <c r="U37">
        <v>0</v>
      </c>
      <c r="V37">
        <v>0</v>
      </c>
      <c r="W37">
        <v>20</v>
      </c>
      <c r="X37">
        <v>2</v>
      </c>
      <c r="Y37">
        <v>2</v>
      </c>
      <c r="Z37">
        <v>1</v>
      </c>
      <c r="AA37">
        <v>357</v>
      </c>
      <c r="AB37">
        <v>396</v>
      </c>
      <c r="AC37">
        <v>0</v>
      </c>
      <c r="AD37">
        <v>64</v>
      </c>
      <c r="AE37">
        <v>5</v>
      </c>
      <c r="AF37" t="s">
        <v>1678</v>
      </c>
      <c r="AG37">
        <v>14</v>
      </c>
      <c r="AH37" t="s">
        <v>1678</v>
      </c>
      <c r="AI37">
        <v>9</v>
      </c>
      <c r="AJ37">
        <v>13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1.92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6</v>
      </c>
      <c r="BD37">
        <v>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2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3</v>
      </c>
      <c r="FC37">
        <v>0</v>
      </c>
      <c r="FD37">
        <v>0</v>
      </c>
      <c r="FE37">
        <v>0</v>
      </c>
      <c r="FF37">
        <v>0</v>
      </c>
      <c r="FG37">
        <v>10</v>
      </c>
      <c r="FH37">
        <v>0</v>
      </c>
      <c r="FI37">
        <v>3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12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2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2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2</v>
      </c>
      <c r="HT37">
        <v>0</v>
      </c>
      <c r="HU37">
        <v>0</v>
      </c>
      <c r="HV37">
        <v>0</v>
      </c>
      <c r="HW37">
        <v>5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3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7</v>
      </c>
      <c r="PP37">
        <v>56</v>
      </c>
      <c r="PQ37">
        <v>23</v>
      </c>
      <c r="PR37">
        <v>21</v>
      </c>
      <c r="PS37">
        <v>5</v>
      </c>
      <c r="PT37">
        <v>0</v>
      </c>
      <c r="PU37">
        <v>0</v>
      </c>
      <c r="PV37">
        <v>14</v>
      </c>
      <c r="PW37">
        <v>2</v>
      </c>
      <c r="PX37">
        <v>6</v>
      </c>
      <c r="PY37">
        <v>1</v>
      </c>
      <c r="PZ37">
        <v>334</v>
      </c>
      <c r="QA37">
        <v>396</v>
      </c>
      <c r="QB37">
        <v>0</v>
      </c>
      <c r="QC37">
        <v>59</v>
      </c>
      <c r="QD37">
        <v>4</v>
      </c>
      <c r="QE37" t="s">
        <v>1671</v>
      </c>
      <c r="QF37">
        <v>14</v>
      </c>
      <c r="QG37" t="s">
        <v>1671</v>
      </c>
      <c r="QH37">
        <v>13</v>
      </c>
      <c r="QI37">
        <v>75</v>
      </c>
      <c r="QJ37">
        <v>6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1.1000000000000001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5</v>
      </c>
      <c r="RC37">
        <v>6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1</v>
      </c>
      <c r="SW37">
        <v>1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2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1</v>
      </c>
      <c r="TP37">
        <v>1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2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1</v>
      </c>
      <c r="VB37">
        <v>0</v>
      </c>
      <c r="VC37">
        <v>0</v>
      </c>
      <c r="VD37">
        <v>0</v>
      </c>
      <c r="VE37">
        <v>0</v>
      </c>
      <c r="VF37">
        <v>2</v>
      </c>
      <c r="VG37">
        <v>0</v>
      </c>
      <c r="VH37">
        <v>4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9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1</v>
      </c>
      <c r="WP37">
        <v>0</v>
      </c>
      <c r="WQ37">
        <v>0</v>
      </c>
      <c r="WR37">
        <v>0</v>
      </c>
      <c r="WS37">
        <v>0</v>
      </c>
      <c r="WT37">
        <v>6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3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2</v>
      </c>
      <c r="XS37">
        <v>0</v>
      </c>
      <c r="XT37">
        <v>0</v>
      </c>
      <c r="XU37">
        <v>0</v>
      </c>
      <c r="XV37">
        <v>7</v>
      </c>
      <c r="XW37">
        <v>0</v>
      </c>
      <c r="XX37">
        <v>0</v>
      </c>
      <c r="XY37">
        <v>3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1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1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2</v>
      </c>
      <c r="AFO37">
        <v>24</v>
      </c>
      <c r="AFP37">
        <v>17</v>
      </c>
      <c r="AFQ37">
        <v>25</v>
      </c>
      <c r="AFR37">
        <v>7</v>
      </c>
      <c r="AFS37">
        <v>0</v>
      </c>
      <c r="AFT37">
        <v>0</v>
      </c>
      <c r="AFU37">
        <v>11</v>
      </c>
      <c r="AFV37">
        <v>1</v>
      </c>
      <c r="AFW37">
        <v>4</v>
      </c>
      <c r="AFX37">
        <v>1</v>
      </c>
      <c r="AFY37">
        <v>323</v>
      </c>
      <c r="AFZ37">
        <v>396</v>
      </c>
      <c r="AGA37">
        <v>1</v>
      </c>
      <c r="AGB37">
        <v>48</v>
      </c>
      <c r="AGC37">
        <v>4</v>
      </c>
      <c r="AGD37" t="s">
        <v>1680</v>
      </c>
      <c r="AGE37">
        <v>13</v>
      </c>
      <c r="AGF37" t="s">
        <v>1680</v>
      </c>
      <c r="AGG37">
        <v>14</v>
      </c>
      <c r="AGH37">
        <v>75</v>
      </c>
      <c r="AGI37">
        <v>3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0.68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7</v>
      </c>
      <c r="AHB37">
        <v>3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2</v>
      </c>
      <c r="AIV37">
        <v>4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3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1</v>
      </c>
      <c r="AKT37">
        <v>0</v>
      </c>
      <c r="AKU37">
        <v>0</v>
      </c>
      <c r="AKV37">
        <v>0</v>
      </c>
      <c r="AKW37">
        <v>0</v>
      </c>
      <c r="AKX37">
        <v>1</v>
      </c>
      <c r="AKY37">
        <v>0</v>
      </c>
      <c r="AKZ37">
        <v>2</v>
      </c>
      <c r="ALA37">
        <v>0</v>
      </c>
      <c r="ALB37">
        <v>0</v>
      </c>
      <c r="ALC37">
        <v>0</v>
      </c>
      <c r="ALD37">
        <v>0</v>
      </c>
      <c r="ALE37">
        <v>2</v>
      </c>
      <c r="ALF37">
        <v>0</v>
      </c>
      <c r="ALG37">
        <v>2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5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1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2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3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7</v>
      </c>
      <c r="ANV37">
        <v>0</v>
      </c>
      <c r="ANW37">
        <v>0</v>
      </c>
      <c r="ANX37">
        <v>1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2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2</v>
      </c>
      <c r="AVN37">
        <v>67</v>
      </c>
      <c r="AVO37">
        <v>17</v>
      </c>
      <c r="AVP37">
        <v>23</v>
      </c>
      <c r="AVQ37">
        <v>4</v>
      </c>
      <c r="AVR37">
        <v>0</v>
      </c>
      <c r="AVS37">
        <v>0</v>
      </c>
      <c r="AVT37">
        <v>15</v>
      </c>
      <c r="AVU37">
        <v>1</v>
      </c>
      <c r="AVV37">
        <v>1</v>
      </c>
      <c r="AVW37">
        <v>0</v>
      </c>
      <c r="AVX37">
        <v>329</v>
      </c>
      <c r="AVY37">
        <v>396</v>
      </c>
      <c r="AVZ37">
        <v>1</v>
      </c>
      <c r="AWA37">
        <v>43</v>
      </c>
      <c r="AWB37">
        <v>3</v>
      </c>
      <c r="AWC37" t="s">
        <v>1676</v>
      </c>
      <c r="AWD37">
        <v>9</v>
      </c>
      <c r="AWE37" t="s">
        <v>1676</v>
      </c>
      <c r="AWF37">
        <v>14</v>
      </c>
      <c r="AWG37">
        <v>13</v>
      </c>
      <c r="AWH37">
        <v>7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0.74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4</v>
      </c>
      <c r="AXA37">
        <v>6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2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3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2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1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1</v>
      </c>
      <c r="BBE37">
        <v>0</v>
      </c>
      <c r="BBF37">
        <v>7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11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1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3</v>
      </c>
      <c r="BDU37">
        <v>0</v>
      </c>
      <c r="BDV37">
        <v>0</v>
      </c>
      <c r="BDW37">
        <v>2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</row>
    <row r="38" spans="1:1675" x14ac:dyDescent="0.2">
      <c r="A38">
        <v>4</v>
      </c>
      <c r="B38">
        <v>6</v>
      </c>
      <c r="C38">
        <f t="shared" si="6"/>
        <v>79</v>
      </c>
      <c r="D38">
        <f t="shared" ref="D38" si="9">D37+1</f>
        <v>953</v>
      </c>
      <c r="E38">
        <f t="shared" ref="E38" si="10">E37+1</f>
        <v>37</v>
      </c>
      <c r="F38">
        <f t="shared" si="8"/>
        <v>1</v>
      </c>
      <c r="G38">
        <f t="shared" ref="G38" si="11">IF(K37&lt;&gt;1,G37+1,1)</f>
        <v>1</v>
      </c>
      <c r="H38" cm="1">
        <f t="array" ref="H38">_xlfn.IFS(P38=0, 1, P38=7, 2, P38=5, 3)</f>
        <v>3</v>
      </c>
      <c r="I38" cm="1">
        <f t="array" ref="I38">_xlfn.IFS(H38=1, IF(AC38=0, P38, PO38), H38=2, IF(AC38=0, P38, AFN38), H38=3, IF(AC38=0, P38, AVM38))</f>
        <v>5</v>
      </c>
      <c r="J38" cm="1">
        <f t="array" ref="J38">_xlfn.IFS(I38=0, 1, I38=1, 0, I38=2, 7, I38=7, 2, I38=5, 6, I38=6, 5)</f>
        <v>6</v>
      </c>
      <c r="K38" t="str" cm="1">
        <f t="array" ref="K38">_xlfn.IFNA(_xlfn.IFS(P38&lt;&gt;P39, 1, A38&lt;&gt;A39, IF(P39=P38, 1)), "")</f>
        <v/>
      </c>
      <c r="L38" t="str">
        <f t="shared" si="7"/>
        <v/>
      </c>
      <c r="M38" t="s">
        <v>1732</v>
      </c>
      <c r="N38" t="s">
        <v>1713</v>
      </c>
      <c r="P38">
        <v>5</v>
      </c>
      <c r="Q38">
        <v>65</v>
      </c>
      <c r="R38">
        <v>18</v>
      </c>
      <c r="S38">
        <v>11</v>
      </c>
      <c r="T38">
        <v>5</v>
      </c>
      <c r="U38">
        <v>0</v>
      </c>
      <c r="V38">
        <v>0</v>
      </c>
      <c r="W38">
        <v>16</v>
      </c>
      <c r="X38">
        <v>0</v>
      </c>
      <c r="Y38">
        <v>2</v>
      </c>
      <c r="Z38">
        <v>0</v>
      </c>
      <c r="AA38">
        <v>322</v>
      </c>
      <c r="AB38">
        <v>354</v>
      </c>
      <c r="AC38">
        <v>0</v>
      </c>
      <c r="AD38">
        <v>46</v>
      </c>
      <c r="AE38">
        <v>4</v>
      </c>
      <c r="AF38" t="s">
        <v>1680</v>
      </c>
      <c r="AG38">
        <v>9</v>
      </c>
      <c r="AH38" t="s">
        <v>1678</v>
      </c>
      <c r="AI38">
        <v>6</v>
      </c>
      <c r="AJ38">
        <v>29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1.64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</v>
      </c>
      <c r="BD38">
        <v>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5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6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4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2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1</v>
      </c>
      <c r="HT38">
        <v>0</v>
      </c>
      <c r="HU38">
        <v>0</v>
      </c>
      <c r="HV38">
        <v>0</v>
      </c>
      <c r="HW38">
        <v>5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6</v>
      </c>
      <c r="PP38">
        <v>58</v>
      </c>
      <c r="PQ38">
        <v>12</v>
      </c>
      <c r="PR38">
        <v>14</v>
      </c>
      <c r="PS38">
        <v>4</v>
      </c>
      <c r="PT38">
        <v>0</v>
      </c>
      <c r="PU38">
        <v>0</v>
      </c>
      <c r="PV38">
        <v>6</v>
      </c>
      <c r="PW38">
        <v>2</v>
      </c>
      <c r="PX38">
        <v>3</v>
      </c>
      <c r="PY38">
        <v>1</v>
      </c>
      <c r="PZ38">
        <v>312</v>
      </c>
      <c r="QA38">
        <v>354</v>
      </c>
      <c r="QB38">
        <v>1</v>
      </c>
      <c r="QC38">
        <v>31</v>
      </c>
      <c r="QD38">
        <v>3</v>
      </c>
      <c r="QE38" t="s">
        <v>1671</v>
      </c>
      <c r="QF38">
        <v>7</v>
      </c>
      <c r="QG38" t="s">
        <v>1676</v>
      </c>
      <c r="QH38">
        <v>9</v>
      </c>
      <c r="QI38">
        <v>13</v>
      </c>
      <c r="QJ38">
        <v>3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0.86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4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1</v>
      </c>
      <c r="SW38">
        <v>2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2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1</v>
      </c>
      <c r="TP38">
        <v>1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1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1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1</v>
      </c>
      <c r="VB38">
        <v>0</v>
      </c>
      <c r="VC38">
        <v>0</v>
      </c>
      <c r="VD38">
        <v>0</v>
      </c>
      <c r="VE38">
        <v>0</v>
      </c>
      <c r="VF38">
        <v>1</v>
      </c>
      <c r="VG38">
        <v>0</v>
      </c>
      <c r="VH38">
        <v>1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4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1</v>
      </c>
      <c r="WP38">
        <v>0</v>
      </c>
      <c r="WQ38">
        <v>0</v>
      </c>
      <c r="WR38">
        <v>0</v>
      </c>
      <c r="WS38">
        <v>0</v>
      </c>
      <c r="WT38">
        <v>3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1</v>
      </c>
      <c r="XH38">
        <v>0</v>
      </c>
      <c r="XI38">
        <v>1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1</v>
      </c>
      <c r="XS38">
        <v>0</v>
      </c>
      <c r="XT38">
        <v>0</v>
      </c>
      <c r="XU38">
        <v>0</v>
      </c>
      <c r="XV38">
        <v>2</v>
      </c>
      <c r="XW38">
        <v>0</v>
      </c>
      <c r="XX38">
        <v>0</v>
      </c>
      <c r="XY38">
        <v>1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1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5</v>
      </c>
      <c r="AFO38">
        <v>85</v>
      </c>
      <c r="AFP38">
        <v>11</v>
      </c>
      <c r="AFQ38">
        <v>12</v>
      </c>
      <c r="AFR38">
        <v>7</v>
      </c>
      <c r="AFS38">
        <v>0</v>
      </c>
      <c r="AFT38">
        <v>0</v>
      </c>
      <c r="AFU38">
        <v>9</v>
      </c>
      <c r="AFV38">
        <v>2</v>
      </c>
      <c r="AFW38">
        <v>0</v>
      </c>
      <c r="AFX38">
        <v>0</v>
      </c>
      <c r="AFY38">
        <v>318</v>
      </c>
      <c r="AFZ38">
        <v>354</v>
      </c>
      <c r="AGA38">
        <v>0</v>
      </c>
      <c r="AGB38">
        <v>34</v>
      </c>
      <c r="AGC38">
        <v>3</v>
      </c>
      <c r="AGD38" t="s">
        <v>1678</v>
      </c>
      <c r="AGE38">
        <v>6</v>
      </c>
      <c r="AGF38" t="s">
        <v>1680</v>
      </c>
      <c r="AGG38">
        <v>7</v>
      </c>
      <c r="AGH38">
        <v>18</v>
      </c>
      <c r="AGI38">
        <v>4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0.92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7</v>
      </c>
      <c r="AHB38">
        <v>3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1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1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3</v>
      </c>
      <c r="ALF38">
        <v>0</v>
      </c>
      <c r="ALG38">
        <v>3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3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1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1</v>
      </c>
      <c r="ANG38">
        <v>0</v>
      </c>
      <c r="ANH38">
        <v>1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1</v>
      </c>
      <c r="ANR38">
        <v>0</v>
      </c>
      <c r="ANS38">
        <v>0</v>
      </c>
      <c r="ANT38">
        <v>0</v>
      </c>
      <c r="ANU38">
        <v>4</v>
      </c>
      <c r="ANV38">
        <v>0</v>
      </c>
      <c r="ANW38">
        <v>0</v>
      </c>
      <c r="ANX38">
        <v>4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1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6</v>
      </c>
      <c r="AVN38">
        <v>29</v>
      </c>
      <c r="AVO38">
        <v>11</v>
      </c>
      <c r="AVP38">
        <v>15</v>
      </c>
      <c r="AVQ38">
        <v>2</v>
      </c>
      <c r="AVR38">
        <v>0</v>
      </c>
      <c r="AVS38">
        <v>0</v>
      </c>
      <c r="AVT38">
        <v>6</v>
      </c>
      <c r="AVU38">
        <v>1</v>
      </c>
      <c r="AVV38">
        <v>3</v>
      </c>
      <c r="AVW38">
        <v>1</v>
      </c>
      <c r="AVX38">
        <v>309</v>
      </c>
      <c r="AVY38">
        <v>354</v>
      </c>
      <c r="AVZ38">
        <v>1</v>
      </c>
      <c r="AWA38">
        <v>26</v>
      </c>
      <c r="AWB38">
        <v>3</v>
      </c>
      <c r="AWC38" t="s">
        <v>1676</v>
      </c>
      <c r="AWD38">
        <v>6</v>
      </c>
      <c r="AWE38" t="s">
        <v>1676</v>
      </c>
      <c r="AWF38">
        <v>9</v>
      </c>
      <c r="AWG38">
        <v>13</v>
      </c>
      <c r="AWH38">
        <v>4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0.73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2</v>
      </c>
      <c r="AXA38">
        <v>3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1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1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2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1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1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3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5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1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2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3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1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</row>
    <row r="39" spans="1:1675" x14ac:dyDescent="0.2">
      <c r="A39">
        <v>4</v>
      </c>
      <c r="B39">
        <v>6</v>
      </c>
      <c r="C39">
        <f t="shared" si="6"/>
        <v>79</v>
      </c>
      <c r="D39">
        <f t="shared" ref="D39:E42" si="12">D38+1</f>
        <v>954</v>
      </c>
      <c r="E39">
        <f t="shared" si="12"/>
        <v>38</v>
      </c>
      <c r="F39">
        <f t="shared" si="8"/>
        <v>2</v>
      </c>
      <c r="G39">
        <f t="shared" ref="G39:G50" si="13">IF(K38&lt;&gt;1,G38+1,1)</f>
        <v>2</v>
      </c>
      <c r="H39" cm="1">
        <f t="array" ref="H39">_xlfn.IFS(P39=0, 1, P39=7, 2, P39=5, 3)</f>
        <v>3</v>
      </c>
      <c r="I39" cm="1">
        <f t="array" ref="I39">_xlfn.IFS(H39=1, IF(AC39=0, P39, PO39), H39=2, IF(AC39=0, P39, AFN39), H39=3, IF(AC39=0, P39, AVM39))</f>
        <v>5</v>
      </c>
      <c r="J39" cm="1">
        <f t="array" ref="J39">_xlfn.IFS(I39=0, 1, I39=1, 0, I39=2, 7, I39=7, 2, I39=5, 6, I39=6, 5)</f>
        <v>6</v>
      </c>
      <c r="K39" t="str" cm="1">
        <f t="array" ref="K39">_xlfn.IFNA(_xlfn.IFS(P39&lt;&gt;P40, 1, A39&lt;&gt;A40, IF(P40=P39, 1)), "")</f>
        <v/>
      </c>
      <c r="L39" t="str">
        <f t="shared" si="7"/>
        <v/>
      </c>
      <c r="M39" t="s">
        <v>1739</v>
      </c>
      <c r="N39" t="s">
        <v>1714</v>
      </c>
      <c r="P39">
        <v>5</v>
      </c>
      <c r="Q39">
        <v>93</v>
      </c>
      <c r="R39">
        <v>19</v>
      </c>
      <c r="S39">
        <v>7</v>
      </c>
      <c r="T39">
        <v>2</v>
      </c>
      <c r="U39">
        <v>0</v>
      </c>
      <c r="V39">
        <v>0</v>
      </c>
      <c r="W39">
        <v>15</v>
      </c>
      <c r="X39">
        <v>0</v>
      </c>
      <c r="Y39">
        <v>2</v>
      </c>
      <c r="Z39">
        <v>2</v>
      </c>
      <c r="AA39">
        <v>333</v>
      </c>
      <c r="AB39">
        <v>354</v>
      </c>
      <c r="AC39">
        <v>0</v>
      </c>
      <c r="AD39">
        <v>45</v>
      </c>
      <c r="AE39">
        <v>9</v>
      </c>
      <c r="AF39" t="s">
        <v>1678</v>
      </c>
      <c r="AG39">
        <v>10</v>
      </c>
      <c r="AH39" t="s">
        <v>1680</v>
      </c>
      <c r="AI39">
        <v>5</v>
      </c>
      <c r="AJ39">
        <v>19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2.71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4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7</v>
      </c>
      <c r="FC39">
        <v>0</v>
      </c>
      <c r="FD39">
        <v>0</v>
      </c>
      <c r="FE39">
        <v>0</v>
      </c>
      <c r="FF39">
        <v>0</v>
      </c>
      <c r="FG39">
        <v>5</v>
      </c>
      <c r="FH39">
        <v>0</v>
      </c>
      <c r="FI39">
        <v>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5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2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1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1</v>
      </c>
      <c r="HT39">
        <v>0</v>
      </c>
      <c r="HU39">
        <v>0</v>
      </c>
      <c r="HV39">
        <v>0</v>
      </c>
      <c r="HW39">
        <v>3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2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1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6</v>
      </c>
      <c r="PP39">
        <v>44</v>
      </c>
      <c r="PQ39">
        <v>7</v>
      </c>
      <c r="PR39">
        <v>14</v>
      </c>
      <c r="PS39">
        <v>4</v>
      </c>
      <c r="PT39">
        <v>0</v>
      </c>
      <c r="PU39">
        <v>0</v>
      </c>
      <c r="PV39">
        <v>3</v>
      </c>
      <c r="PW39">
        <v>1</v>
      </c>
      <c r="PX39">
        <v>3</v>
      </c>
      <c r="PY39">
        <v>0</v>
      </c>
      <c r="PZ39">
        <v>312</v>
      </c>
      <c r="QA39">
        <v>354</v>
      </c>
      <c r="QB39">
        <v>1</v>
      </c>
      <c r="QC39">
        <v>21</v>
      </c>
      <c r="QD39">
        <v>3</v>
      </c>
      <c r="QE39" t="s">
        <v>1676</v>
      </c>
      <c r="QF39">
        <v>5</v>
      </c>
      <c r="QG39" t="s">
        <v>1676</v>
      </c>
      <c r="QH39">
        <v>9</v>
      </c>
      <c r="QI39">
        <v>75</v>
      </c>
      <c r="QJ39">
        <v>2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0.5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4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1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2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1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1</v>
      </c>
      <c r="VG39">
        <v>0</v>
      </c>
      <c r="VH39">
        <v>1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2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1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2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1</v>
      </c>
      <c r="XS39">
        <v>0</v>
      </c>
      <c r="XT39">
        <v>0</v>
      </c>
      <c r="XU39">
        <v>0</v>
      </c>
      <c r="XV39">
        <v>2</v>
      </c>
      <c r="XW39">
        <v>0</v>
      </c>
      <c r="XX39">
        <v>0</v>
      </c>
      <c r="XY39">
        <v>1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1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5</v>
      </c>
      <c r="AFO39">
        <v>57</v>
      </c>
      <c r="AFP39">
        <v>11</v>
      </c>
      <c r="AFQ39">
        <v>11</v>
      </c>
      <c r="AFR39">
        <v>8</v>
      </c>
      <c r="AFS39">
        <v>0</v>
      </c>
      <c r="AFT39">
        <v>0</v>
      </c>
      <c r="AFU39">
        <v>8</v>
      </c>
      <c r="AFV39">
        <v>1</v>
      </c>
      <c r="AFW39">
        <v>1</v>
      </c>
      <c r="AFX39">
        <v>1</v>
      </c>
      <c r="AFY39">
        <v>321</v>
      </c>
      <c r="AFZ39">
        <v>354</v>
      </c>
      <c r="AGA39">
        <v>0</v>
      </c>
      <c r="AGB39">
        <v>31</v>
      </c>
      <c r="AGC39">
        <v>3</v>
      </c>
      <c r="AGD39" t="s">
        <v>1678</v>
      </c>
      <c r="AGE39">
        <v>6</v>
      </c>
      <c r="AGF39" t="s">
        <v>1678</v>
      </c>
      <c r="AGG39">
        <v>9</v>
      </c>
      <c r="AGH39">
        <v>132</v>
      </c>
      <c r="AGI39">
        <v>3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1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8</v>
      </c>
      <c r="AHB39">
        <v>1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1</v>
      </c>
      <c r="AIV39">
        <v>1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1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1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4</v>
      </c>
      <c r="ALA39">
        <v>0</v>
      </c>
      <c r="ALB39">
        <v>0</v>
      </c>
      <c r="ALC39">
        <v>0</v>
      </c>
      <c r="ALD39">
        <v>0</v>
      </c>
      <c r="ALE39">
        <v>1</v>
      </c>
      <c r="ALF39">
        <v>0</v>
      </c>
      <c r="ALG39">
        <v>2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5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1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4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1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6</v>
      </c>
      <c r="AVN39">
        <v>34</v>
      </c>
      <c r="AVO39">
        <v>11</v>
      </c>
      <c r="AVP39">
        <v>16</v>
      </c>
      <c r="AVQ39">
        <v>2</v>
      </c>
      <c r="AVR39">
        <v>0</v>
      </c>
      <c r="AVS39">
        <v>0</v>
      </c>
      <c r="AVT39">
        <v>10</v>
      </c>
      <c r="AVU39">
        <v>0</v>
      </c>
      <c r="AVV39">
        <v>1</v>
      </c>
      <c r="AVW39">
        <v>0</v>
      </c>
      <c r="AVX39">
        <v>306</v>
      </c>
      <c r="AVY39">
        <v>354</v>
      </c>
      <c r="AVZ39">
        <v>1</v>
      </c>
      <c r="AWA39">
        <v>23</v>
      </c>
      <c r="AWB39">
        <v>3</v>
      </c>
      <c r="AWC39" t="s">
        <v>1671</v>
      </c>
      <c r="AWD39">
        <v>9</v>
      </c>
      <c r="AWE39" t="s">
        <v>1676</v>
      </c>
      <c r="AWF39">
        <v>10</v>
      </c>
      <c r="AWG39">
        <v>13</v>
      </c>
      <c r="AWH39">
        <v>4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0.69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1</v>
      </c>
      <c r="AXA39">
        <v>2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3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1</v>
      </c>
      <c r="AZN39">
        <v>1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1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6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1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1</v>
      </c>
      <c r="BDU39">
        <v>0</v>
      </c>
      <c r="BDV39">
        <v>0</v>
      </c>
      <c r="BDW39">
        <v>4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1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1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</row>
    <row r="40" spans="1:1675" x14ac:dyDescent="0.2">
      <c r="A40">
        <v>4</v>
      </c>
      <c r="B40">
        <v>6</v>
      </c>
      <c r="C40">
        <f t="shared" si="6"/>
        <v>79</v>
      </c>
      <c r="D40">
        <f t="shared" si="12"/>
        <v>955</v>
      </c>
      <c r="E40">
        <f t="shared" si="12"/>
        <v>39</v>
      </c>
      <c r="F40">
        <f t="shared" si="8"/>
        <v>3</v>
      </c>
      <c r="G40">
        <f t="shared" si="13"/>
        <v>3</v>
      </c>
      <c r="H40" cm="1">
        <f t="array" ref="H40">_xlfn.IFS(P40=0, 1, P40=7, 2, P40=5, 3)</f>
        <v>3</v>
      </c>
      <c r="I40" cm="1">
        <f t="array" ref="I40">_xlfn.IFS(H40=1, IF(AC40=0, P40, PO40), H40=2, IF(AC40=0, P40, AFN40), H40=3, IF(AC40=0, P40, AVM40))</f>
        <v>5</v>
      </c>
      <c r="J40" cm="1">
        <f t="array" ref="J40">_xlfn.IFS(I40=0, 1, I40=1, 0, I40=2, 7, I40=7, 2, I40=5, 6, I40=6, 5)</f>
        <v>6</v>
      </c>
      <c r="K40" cm="1">
        <f t="array" ref="K40">_xlfn.IFNA(_xlfn.IFS(P40&lt;&gt;P41, 1, A40&lt;&gt;A41, IF(P41=P40, 1)), "")</f>
        <v>1</v>
      </c>
      <c r="L40">
        <f t="shared" si="7"/>
        <v>5</v>
      </c>
      <c r="M40" t="s">
        <v>1728</v>
      </c>
      <c r="N40" t="s">
        <v>1715</v>
      </c>
      <c r="P40">
        <v>5</v>
      </c>
      <c r="Q40">
        <v>67</v>
      </c>
      <c r="R40">
        <v>30</v>
      </c>
      <c r="S40">
        <v>20</v>
      </c>
      <c r="T40">
        <v>9</v>
      </c>
      <c r="U40">
        <v>0</v>
      </c>
      <c r="V40">
        <v>0</v>
      </c>
      <c r="W40">
        <v>21</v>
      </c>
      <c r="X40">
        <v>0</v>
      </c>
      <c r="Y40">
        <v>8</v>
      </c>
      <c r="Z40">
        <v>1</v>
      </c>
      <c r="AA40">
        <v>366</v>
      </c>
      <c r="AB40">
        <v>423</v>
      </c>
      <c r="AC40">
        <v>0</v>
      </c>
      <c r="AD40">
        <v>84</v>
      </c>
      <c r="AE40">
        <v>10</v>
      </c>
      <c r="AF40" t="s">
        <v>1680</v>
      </c>
      <c r="AG40">
        <v>18</v>
      </c>
      <c r="AH40" t="s">
        <v>1678</v>
      </c>
      <c r="AI40">
        <v>10</v>
      </c>
      <c r="AJ40">
        <v>75</v>
      </c>
      <c r="AK40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1.5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9</v>
      </c>
      <c r="BD40">
        <v>10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1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3</v>
      </c>
      <c r="FH40">
        <v>0</v>
      </c>
      <c r="FI40">
        <v>9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7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7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1</v>
      </c>
      <c r="HT40">
        <v>0</v>
      </c>
      <c r="HU40">
        <v>0</v>
      </c>
      <c r="HV40">
        <v>0</v>
      </c>
      <c r="HW40">
        <v>9</v>
      </c>
      <c r="HX40">
        <v>0</v>
      </c>
      <c r="HY40">
        <v>0</v>
      </c>
      <c r="HZ40">
        <v>5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7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1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6</v>
      </c>
      <c r="PP40">
        <v>48</v>
      </c>
      <c r="PQ40">
        <v>22</v>
      </c>
      <c r="PR40">
        <v>24</v>
      </c>
      <c r="PS40">
        <v>3</v>
      </c>
      <c r="PT40">
        <v>0</v>
      </c>
      <c r="PU40">
        <v>0</v>
      </c>
      <c r="PV40">
        <v>10</v>
      </c>
      <c r="PW40">
        <v>4</v>
      </c>
      <c r="PX40">
        <v>6</v>
      </c>
      <c r="PY40">
        <v>2</v>
      </c>
      <c r="PZ40">
        <v>351</v>
      </c>
      <c r="QA40">
        <v>423</v>
      </c>
      <c r="QB40">
        <v>1</v>
      </c>
      <c r="QC40">
        <v>57</v>
      </c>
      <c r="QD40">
        <v>2</v>
      </c>
      <c r="QE40" t="s">
        <v>1671</v>
      </c>
      <c r="QF40">
        <v>12</v>
      </c>
      <c r="QG40" t="s">
        <v>1676</v>
      </c>
      <c r="QH40">
        <v>18</v>
      </c>
      <c r="QI40">
        <v>13</v>
      </c>
      <c r="QJ40">
        <v>5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0.92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3</v>
      </c>
      <c r="RC40">
        <v>5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1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3</v>
      </c>
      <c r="SW40">
        <v>1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1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1</v>
      </c>
      <c r="TP40">
        <v>1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4</v>
      </c>
      <c r="UU40">
        <v>0</v>
      </c>
      <c r="UV40">
        <v>0</v>
      </c>
      <c r="UW40">
        <v>0</v>
      </c>
      <c r="UX40">
        <v>0</v>
      </c>
      <c r="UY40">
        <v>1</v>
      </c>
      <c r="UZ40">
        <v>0</v>
      </c>
      <c r="VA40">
        <v>2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7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8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3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1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3</v>
      </c>
      <c r="XS40">
        <v>0</v>
      </c>
      <c r="XT40">
        <v>0</v>
      </c>
      <c r="XU40">
        <v>0</v>
      </c>
      <c r="XV40">
        <v>8</v>
      </c>
      <c r="XW40">
        <v>0</v>
      </c>
      <c r="XX40">
        <v>0</v>
      </c>
      <c r="XY40">
        <v>1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1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1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5</v>
      </c>
      <c r="AFO40">
        <v>83</v>
      </c>
      <c r="AFP40">
        <v>19</v>
      </c>
      <c r="AFQ40">
        <v>21</v>
      </c>
      <c r="AFR40">
        <v>11</v>
      </c>
      <c r="AFS40">
        <v>0</v>
      </c>
      <c r="AFT40">
        <v>0</v>
      </c>
      <c r="AFU40">
        <v>15</v>
      </c>
      <c r="AFV40">
        <v>1</v>
      </c>
      <c r="AFW40">
        <v>3</v>
      </c>
      <c r="AFX40">
        <v>0</v>
      </c>
      <c r="AFY40">
        <v>360</v>
      </c>
      <c r="AFZ40">
        <v>423</v>
      </c>
      <c r="AGA40">
        <v>0</v>
      </c>
      <c r="AGB40">
        <v>59</v>
      </c>
      <c r="AGC40">
        <v>2</v>
      </c>
      <c r="AGD40" t="s">
        <v>1678</v>
      </c>
      <c r="AGE40">
        <v>13</v>
      </c>
      <c r="AGF40" t="s">
        <v>1680</v>
      </c>
      <c r="AGG40">
        <v>12</v>
      </c>
      <c r="AGH40">
        <v>13</v>
      </c>
      <c r="AGI40">
        <v>8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0.9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11</v>
      </c>
      <c r="AHB40">
        <v>7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2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2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2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1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1</v>
      </c>
      <c r="ALA40">
        <v>0</v>
      </c>
      <c r="ALB40">
        <v>0</v>
      </c>
      <c r="ALC40">
        <v>0</v>
      </c>
      <c r="ALD40">
        <v>0</v>
      </c>
      <c r="ALE40">
        <v>4</v>
      </c>
      <c r="ALF40">
        <v>0</v>
      </c>
      <c r="ALG40">
        <v>5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10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1</v>
      </c>
      <c r="AMO40">
        <v>0</v>
      </c>
      <c r="AMP40">
        <v>0</v>
      </c>
      <c r="AMQ40">
        <v>0</v>
      </c>
      <c r="AMR40">
        <v>0</v>
      </c>
      <c r="AMS40">
        <v>2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1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1</v>
      </c>
      <c r="ANR40">
        <v>0</v>
      </c>
      <c r="ANS40">
        <v>0</v>
      </c>
      <c r="ANT40">
        <v>0</v>
      </c>
      <c r="ANU40">
        <v>6</v>
      </c>
      <c r="ANV40">
        <v>0</v>
      </c>
      <c r="ANW40">
        <v>0</v>
      </c>
      <c r="ANX40">
        <v>2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1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6</v>
      </c>
      <c r="AVN40">
        <v>79</v>
      </c>
      <c r="AVO40">
        <v>19</v>
      </c>
      <c r="AVP40">
        <v>25</v>
      </c>
      <c r="AVQ40">
        <v>5</v>
      </c>
      <c r="AVR40">
        <v>0</v>
      </c>
      <c r="AVS40">
        <v>0</v>
      </c>
      <c r="AVT40">
        <v>12</v>
      </c>
      <c r="AVU40">
        <v>1</v>
      </c>
      <c r="AVV40">
        <v>5</v>
      </c>
      <c r="AVW40">
        <v>1</v>
      </c>
      <c r="AVX40">
        <v>351</v>
      </c>
      <c r="AVY40">
        <v>423</v>
      </c>
      <c r="AVZ40">
        <v>1</v>
      </c>
      <c r="AWA40">
        <v>49</v>
      </c>
      <c r="AWB40">
        <v>4</v>
      </c>
      <c r="AWC40" t="s">
        <v>1676</v>
      </c>
      <c r="AWD40">
        <v>10</v>
      </c>
      <c r="AWE40" t="s">
        <v>1671</v>
      </c>
      <c r="AWF40">
        <v>13</v>
      </c>
      <c r="AWG40">
        <v>13</v>
      </c>
      <c r="AWH40">
        <v>3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0.76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5</v>
      </c>
      <c r="AXA40">
        <v>4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2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1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1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1</v>
      </c>
      <c r="BAS40">
        <v>0</v>
      </c>
      <c r="BAT40">
        <v>0</v>
      </c>
      <c r="BAU40">
        <v>0</v>
      </c>
      <c r="BAV40">
        <v>0</v>
      </c>
      <c r="BAW40">
        <v>1</v>
      </c>
      <c r="BAX40">
        <v>0</v>
      </c>
      <c r="BAY40">
        <v>1</v>
      </c>
      <c r="BAZ40">
        <v>0</v>
      </c>
      <c r="BBA40">
        <v>0</v>
      </c>
      <c r="BBB40">
        <v>0</v>
      </c>
      <c r="BBC40">
        <v>0</v>
      </c>
      <c r="BBD40">
        <v>2</v>
      </c>
      <c r="BBE40">
        <v>0</v>
      </c>
      <c r="BBF40">
        <v>3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7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2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5</v>
      </c>
      <c r="BDQ40">
        <v>0</v>
      </c>
      <c r="BDR40">
        <v>0</v>
      </c>
      <c r="BDS40">
        <v>0</v>
      </c>
      <c r="BDT40">
        <v>7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3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1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2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1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</row>
    <row r="41" spans="1:1675" x14ac:dyDescent="0.2">
      <c r="A41">
        <v>4</v>
      </c>
      <c r="B41">
        <v>6</v>
      </c>
      <c r="C41">
        <f t="shared" si="6"/>
        <v>79</v>
      </c>
      <c r="D41">
        <f t="shared" si="12"/>
        <v>956</v>
      </c>
      <c r="E41">
        <f t="shared" si="12"/>
        <v>40</v>
      </c>
      <c r="F41">
        <f t="shared" si="8"/>
        <v>4</v>
      </c>
      <c r="G41">
        <f t="shared" si="13"/>
        <v>1</v>
      </c>
      <c r="H41" cm="1">
        <f t="array" ref="H41">_xlfn.IFS(P41=0, 1, P41=7, 2, P41=5, 3)</f>
        <v>2</v>
      </c>
      <c r="I41" cm="1">
        <f t="array" ref="I41">_xlfn.IFS(H41=1, IF(AC41=0, P41, PO41), H41=2, IF(AC41=0, P41, AFN41), H41=3, IF(AC41=0, P41, AVM41))</f>
        <v>2</v>
      </c>
      <c r="J41" cm="1">
        <f t="array" ref="J41">_xlfn.IFS(I41=0, 1, I41=1, 0, I41=2, 7, I41=7, 2, I41=5, 6, I41=6, 5)</f>
        <v>7</v>
      </c>
      <c r="K41" t="str" cm="1">
        <f t="array" ref="K41">_xlfn.IFNA(_xlfn.IFS(P41&lt;&gt;P42, 1, A41&lt;&gt;A42, IF(P42=P41, 1)), "")</f>
        <v/>
      </c>
      <c r="L41" t="str">
        <f t="shared" si="7"/>
        <v/>
      </c>
      <c r="M41" t="s">
        <v>1746</v>
      </c>
      <c r="N41" t="s">
        <v>1716</v>
      </c>
      <c r="P41">
        <v>7</v>
      </c>
      <c r="Q41">
        <v>63</v>
      </c>
      <c r="R41">
        <v>10</v>
      </c>
      <c r="S41">
        <v>16</v>
      </c>
      <c r="T41">
        <v>5</v>
      </c>
      <c r="U41">
        <v>0</v>
      </c>
      <c r="V41">
        <v>0</v>
      </c>
      <c r="W41">
        <v>9</v>
      </c>
      <c r="X41">
        <v>1</v>
      </c>
      <c r="Y41">
        <v>0</v>
      </c>
      <c r="Z41">
        <v>0</v>
      </c>
      <c r="AA41">
        <v>402</v>
      </c>
      <c r="AB41">
        <v>449</v>
      </c>
      <c r="AC41">
        <v>1</v>
      </c>
      <c r="AD41">
        <v>30</v>
      </c>
      <c r="AE41">
        <v>3</v>
      </c>
      <c r="AF41" t="s">
        <v>1678</v>
      </c>
      <c r="AG41">
        <v>6</v>
      </c>
      <c r="AH41" t="s">
        <v>1671</v>
      </c>
      <c r="AI41">
        <v>9</v>
      </c>
      <c r="AJ41">
        <v>115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0.62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2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2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3</v>
      </c>
      <c r="FH41">
        <v>0</v>
      </c>
      <c r="FI41">
        <v>2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0</v>
      </c>
      <c r="HU41">
        <v>0</v>
      </c>
      <c r="HV41">
        <v>0</v>
      </c>
      <c r="HW41">
        <v>3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5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7</v>
      </c>
      <c r="PP41">
        <v>57</v>
      </c>
      <c r="PQ41">
        <v>14</v>
      </c>
      <c r="PR41">
        <v>16</v>
      </c>
      <c r="PS41">
        <v>4</v>
      </c>
      <c r="PT41">
        <v>0</v>
      </c>
      <c r="PU41">
        <v>0</v>
      </c>
      <c r="PV41">
        <v>8</v>
      </c>
      <c r="PW41">
        <v>2</v>
      </c>
      <c r="PX41">
        <v>4</v>
      </c>
      <c r="PY41">
        <v>0</v>
      </c>
      <c r="PZ41">
        <v>401</v>
      </c>
      <c r="QA41">
        <v>449</v>
      </c>
      <c r="QB41">
        <v>1</v>
      </c>
      <c r="QC41">
        <v>43</v>
      </c>
      <c r="QD41">
        <v>3</v>
      </c>
      <c r="QE41" t="s">
        <v>1671</v>
      </c>
      <c r="QF41">
        <v>8</v>
      </c>
      <c r="QG41" t="s">
        <v>1671</v>
      </c>
      <c r="QH41">
        <v>9</v>
      </c>
      <c r="QI41">
        <v>18</v>
      </c>
      <c r="QJ41">
        <v>4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0.88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4</v>
      </c>
      <c r="RC41">
        <v>2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1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3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2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1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2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2</v>
      </c>
      <c r="UU41">
        <v>0</v>
      </c>
      <c r="UV41">
        <v>0</v>
      </c>
      <c r="UW41">
        <v>0</v>
      </c>
      <c r="UX41">
        <v>0</v>
      </c>
      <c r="UY41">
        <v>2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1</v>
      </c>
      <c r="VG41">
        <v>0</v>
      </c>
      <c r="VH41">
        <v>3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2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2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2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1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2</v>
      </c>
      <c r="XS41">
        <v>0</v>
      </c>
      <c r="XT41">
        <v>0</v>
      </c>
      <c r="XU41">
        <v>0</v>
      </c>
      <c r="XV41">
        <v>7</v>
      </c>
      <c r="XW41">
        <v>0</v>
      </c>
      <c r="XX41">
        <v>0</v>
      </c>
      <c r="XY41">
        <v>4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2</v>
      </c>
      <c r="AFO41">
        <v>94</v>
      </c>
      <c r="AFP41">
        <v>18</v>
      </c>
      <c r="AFQ41">
        <v>12</v>
      </c>
      <c r="AFR41">
        <v>5</v>
      </c>
      <c r="AFS41">
        <v>0</v>
      </c>
      <c r="AFT41">
        <v>0</v>
      </c>
      <c r="AFU41">
        <v>12</v>
      </c>
      <c r="AFV41">
        <v>6</v>
      </c>
      <c r="AFW41">
        <v>0</v>
      </c>
      <c r="AFX41">
        <v>0</v>
      </c>
      <c r="AFY41">
        <v>413</v>
      </c>
      <c r="AFZ41">
        <v>449</v>
      </c>
      <c r="AGA41">
        <v>0</v>
      </c>
      <c r="AGB41">
        <v>45</v>
      </c>
      <c r="AGC41">
        <v>5</v>
      </c>
      <c r="AGD41" t="s">
        <v>1676</v>
      </c>
      <c r="AGE41">
        <v>9</v>
      </c>
      <c r="AGF41" t="s">
        <v>1680</v>
      </c>
      <c r="AGG41">
        <v>8</v>
      </c>
      <c r="AGH41">
        <v>20</v>
      </c>
      <c r="AGI41">
        <v>6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1.5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4</v>
      </c>
      <c r="AHB41">
        <v>2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3</v>
      </c>
      <c r="AIV41">
        <v>1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3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6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3</v>
      </c>
      <c r="ALA41">
        <v>0</v>
      </c>
      <c r="ALB41">
        <v>0</v>
      </c>
      <c r="ALC41">
        <v>0</v>
      </c>
      <c r="ALD41">
        <v>0</v>
      </c>
      <c r="ALE41">
        <v>5</v>
      </c>
      <c r="ALF41">
        <v>0</v>
      </c>
      <c r="ALG41">
        <v>3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2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2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2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2</v>
      </c>
      <c r="ANV41">
        <v>0</v>
      </c>
      <c r="ANW41">
        <v>0</v>
      </c>
      <c r="ANX41">
        <v>3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4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2</v>
      </c>
      <c r="AVN41">
        <v>56</v>
      </c>
      <c r="AVO41">
        <v>14</v>
      </c>
      <c r="AVP41">
        <v>12</v>
      </c>
      <c r="AVQ41">
        <v>6</v>
      </c>
      <c r="AVR41">
        <v>0</v>
      </c>
      <c r="AVS41">
        <v>0</v>
      </c>
      <c r="AVT41">
        <v>8</v>
      </c>
      <c r="AVU41">
        <v>1</v>
      </c>
      <c r="AVV41">
        <v>4</v>
      </c>
      <c r="AVW41">
        <v>1</v>
      </c>
      <c r="AVX41">
        <v>413</v>
      </c>
      <c r="AVY41">
        <v>449</v>
      </c>
      <c r="AVZ41">
        <v>0</v>
      </c>
      <c r="AWA41">
        <v>40</v>
      </c>
      <c r="AWB41">
        <v>3</v>
      </c>
      <c r="AWC41" t="s">
        <v>1676</v>
      </c>
      <c r="AWD41">
        <v>7</v>
      </c>
      <c r="AWE41" t="s">
        <v>1676</v>
      </c>
      <c r="AWF41">
        <v>6</v>
      </c>
      <c r="AWG41">
        <v>13</v>
      </c>
      <c r="AWH41">
        <v>3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1.17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6</v>
      </c>
      <c r="AXA41">
        <v>2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1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1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2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1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1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2</v>
      </c>
      <c r="BAZ41">
        <v>0</v>
      </c>
      <c r="BBA41">
        <v>0</v>
      </c>
      <c r="BBB41">
        <v>0</v>
      </c>
      <c r="BBC41">
        <v>0</v>
      </c>
      <c r="BBD41">
        <v>2</v>
      </c>
      <c r="BBE41">
        <v>0</v>
      </c>
      <c r="BBF41">
        <v>3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4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1</v>
      </c>
      <c r="BCN41">
        <v>0</v>
      </c>
      <c r="BCO41">
        <v>0</v>
      </c>
      <c r="BCP41">
        <v>0</v>
      </c>
      <c r="BCQ41">
        <v>0</v>
      </c>
      <c r="BCR41">
        <v>1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1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6</v>
      </c>
      <c r="BDU41">
        <v>0</v>
      </c>
      <c r="BDV41">
        <v>0</v>
      </c>
      <c r="BDW41">
        <v>1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1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1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3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</row>
    <row r="42" spans="1:1675" x14ac:dyDescent="0.2">
      <c r="A42">
        <v>4</v>
      </c>
      <c r="B42">
        <v>6</v>
      </c>
      <c r="C42">
        <f t="shared" si="6"/>
        <v>79</v>
      </c>
      <c r="D42">
        <f t="shared" si="12"/>
        <v>957</v>
      </c>
      <c r="E42">
        <f t="shared" si="12"/>
        <v>41</v>
      </c>
      <c r="F42">
        <f t="shared" si="8"/>
        <v>5</v>
      </c>
      <c r="G42">
        <f t="shared" si="13"/>
        <v>2</v>
      </c>
      <c r="H42" cm="1">
        <f t="array" ref="H42">_xlfn.IFS(P42=0, 1, P42=7, 2, P42=5, 3)</f>
        <v>2</v>
      </c>
      <c r="I42" cm="1">
        <f t="array" ref="I42">_xlfn.IFS(H42=1, IF(AC42=0, P42, PO42), H42=2, IF(AC42=0, P42, AFN42), H42=3, IF(AC42=0, P42, AVM42))</f>
        <v>7</v>
      </c>
      <c r="J42" cm="1">
        <f t="array" ref="J42">_xlfn.IFS(I42=0, 1, I42=1, 0, I42=2, 7, I42=7, 2, I42=5, 6, I42=6, 5)</f>
        <v>2</v>
      </c>
      <c r="K42" t="str" cm="1">
        <f t="array" ref="K42">_xlfn.IFNA(_xlfn.IFS(P42&lt;&gt;P43, 1, A42&lt;&gt;A43, IF(P43=P42, 1)), "")</f>
        <v/>
      </c>
      <c r="L42" t="str">
        <f t="shared" si="7"/>
        <v/>
      </c>
      <c r="M42" t="s">
        <v>1747</v>
      </c>
      <c r="N42" t="s">
        <v>1717</v>
      </c>
      <c r="P42">
        <v>7</v>
      </c>
      <c r="Q42">
        <v>101</v>
      </c>
      <c r="R42">
        <v>9</v>
      </c>
      <c r="S42">
        <v>8</v>
      </c>
      <c r="T42">
        <v>2</v>
      </c>
      <c r="U42">
        <v>0</v>
      </c>
      <c r="V42">
        <v>0</v>
      </c>
      <c r="W42">
        <v>5</v>
      </c>
      <c r="X42">
        <v>2</v>
      </c>
      <c r="Y42">
        <v>1</v>
      </c>
      <c r="Z42">
        <v>1</v>
      </c>
      <c r="AA42">
        <v>257</v>
      </c>
      <c r="AB42">
        <v>280</v>
      </c>
      <c r="AC42">
        <v>0</v>
      </c>
      <c r="AD42">
        <v>26</v>
      </c>
      <c r="AE42">
        <v>4</v>
      </c>
      <c r="AF42" t="s">
        <v>1678</v>
      </c>
      <c r="AG42">
        <v>6</v>
      </c>
      <c r="AH42" t="s">
        <v>1671</v>
      </c>
      <c r="AI42">
        <v>6</v>
      </c>
      <c r="AJ42">
        <v>20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1.1200000000000001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2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4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2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1</v>
      </c>
      <c r="GQ42">
        <v>0</v>
      </c>
      <c r="GR42">
        <v>0</v>
      </c>
      <c r="GS42">
        <v>0</v>
      </c>
      <c r="GT42">
        <v>0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1</v>
      </c>
      <c r="HT42">
        <v>0</v>
      </c>
      <c r="HU42">
        <v>0</v>
      </c>
      <c r="HV42">
        <v>0</v>
      </c>
      <c r="HW42">
        <v>2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7</v>
      </c>
      <c r="PP42">
        <v>49</v>
      </c>
      <c r="PQ42">
        <v>12</v>
      </c>
      <c r="PR42">
        <v>9</v>
      </c>
      <c r="PS42">
        <v>2</v>
      </c>
      <c r="PT42">
        <v>0</v>
      </c>
      <c r="PU42">
        <v>1</v>
      </c>
      <c r="PV42">
        <v>10</v>
      </c>
      <c r="PW42">
        <v>0</v>
      </c>
      <c r="PX42">
        <v>2</v>
      </c>
      <c r="PY42">
        <v>0</v>
      </c>
      <c r="PZ42">
        <v>250</v>
      </c>
      <c r="QA42">
        <v>280</v>
      </c>
      <c r="QB42">
        <v>0</v>
      </c>
      <c r="QC42">
        <v>23</v>
      </c>
      <c r="QD42">
        <v>3</v>
      </c>
      <c r="QE42" t="s">
        <v>1671</v>
      </c>
      <c r="QF42">
        <v>8</v>
      </c>
      <c r="QG42" t="s">
        <v>1678</v>
      </c>
      <c r="QH42">
        <v>6</v>
      </c>
      <c r="QI42">
        <v>18</v>
      </c>
      <c r="QJ42">
        <v>7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1.33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2</v>
      </c>
      <c r="RC42">
        <v>3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1</v>
      </c>
      <c r="SL42">
        <v>1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1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1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2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3</v>
      </c>
      <c r="XW42">
        <v>0</v>
      </c>
      <c r="XX42">
        <v>0</v>
      </c>
      <c r="XY42">
        <v>7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2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2</v>
      </c>
      <c r="AFO42">
        <v>24</v>
      </c>
      <c r="AFP42">
        <v>8</v>
      </c>
      <c r="AFQ42">
        <v>11</v>
      </c>
      <c r="AFR42">
        <v>3</v>
      </c>
      <c r="AFS42">
        <v>0</v>
      </c>
      <c r="AFT42">
        <v>0</v>
      </c>
      <c r="AFU42">
        <v>4</v>
      </c>
      <c r="AFV42">
        <v>2</v>
      </c>
      <c r="AFW42">
        <v>2</v>
      </c>
      <c r="AFX42">
        <v>0</v>
      </c>
      <c r="AFY42">
        <v>249</v>
      </c>
      <c r="AFZ42">
        <v>280</v>
      </c>
      <c r="AGA42">
        <v>1</v>
      </c>
      <c r="AGB42">
        <v>24</v>
      </c>
      <c r="AGC42">
        <v>2</v>
      </c>
      <c r="AGD42" t="s">
        <v>1676</v>
      </c>
      <c r="AGE42">
        <v>6</v>
      </c>
      <c r="AGF42" t="s">
        <v>1680</v>
      </c>
      <c r="AGG42">
        <v>8</v>
      </c>
      <c r="AGH42">
        <v>115</v>
      </c>
      <c r="AGI42">
        <v>3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0.73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2</v>
      </c>
      <c r="AHB42">
        <v>2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1</v>
      </c>
      <c r="AIV42">
        <v>1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1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1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1</v>
      </c>
      <c r="ALF42">
        <v>0</v>
      </c>
      <c r="ALG42">
        <v>4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2</v>
      </c>
      <c r="ANG42">
        <v>0</v>
      </c>
      <c r="ANH42">
        <v>1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2</v>
      </c>
      <c r="ANV42">
        <v>0</v>
      </c>
      <c r="ANW42">
        <v>0</v>
      </c>
      <c r="ANX42">
        <v>1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3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1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2</v>
      </c>
      <c r="AVN42">
        <v>51</v>
      </c>
      <c r="AVO42">
        <v>8</v>
      </c>
      <c r="AVP42">
        <v>10</v>
      </c>
      <c r="AVQ42">
        <v>3</v>
      </c>
      <c r="AVR42">
        <v>0</v>
      </c>
      <c r="AVS42">
        <v>0</v>
      </c>
      <c r="AVT42">
        <v>6</v>
      </c>
      <c r="AVU42">
        <v>1</v>
      </c>
      <c r="AVV42">
        <v>1</v>
      </c>
      <c r="AVW42">
        <v>0</v>
      </c>
      <c r="AVX42">
        <v>250</v>
      </c>
      <c r="AVY42">
        <v>280</v>
      </c>
      <c r="AVZ42">
        <v>1</v>
      </c>
      <c r="AWA42">
        <v>24</v>
      </c>
      <c r="AWB42">
        <v>3</v>
      </c>
      <c r="AWC42" t="s">
        <v>1680</v>
      </c>
      <c r="AWD42">
        <v>6</v>
      </c>
      <c r="AWE42" t="s">
        <v>1676</v>
      </c>
      <c r="AWF42">
        <v>6</v>
      </c>
      <c r="AWG42">
        <v>18</v>
      </c>
      <c r="AWH42">
        <v>3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0.8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3</v>
      </c>
      <c r="AXA42">
        <v>3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2</v>
      </c>
      <c r="AYU42">
        <v>1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2</v>
      </c>
      <c r="BBE42">
        <v>0</v>
      </c>
      <c r="BBF42">
        <v>2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1</v>
      </c>
      <c r="BBR42">
        <v>1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1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1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1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2</v>
      </c>
      <c r="BDU42">
        <v>0</v>
      </c>
      <c r="BDV42">
        <v>0</v>
      </c>
      <c r="BDW42">
        <v>3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1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</row>
    <row r="43" spans="1:1675" x14ac:dyDescent="0.2">
      <c r="A43">
        <v>4</v>
      </c>
      <c r="B43">
        <v>6</v>
      </c>
      <c r="C43">
        <f t="shared" si="6"/>
        <v>79</v>
      </c>
      <c r="D43">
        <f t="shared" ref="D43:D62" si="14">D42+1</f>
        <v>958</v>
      </c>
      <c r="E43">
        <f t="shared" ref="E43:E62" si="15">E42+1</f>
        <v>42</v>
      </c>
      <c r="F43">
        <f t="shared" si="8"/>
        <v>6</v>
      </c>
      <c r="G43">
        <f t="shared" si="13"/>
        <v>3</v>
      </c>
      <c r="H43" cm="1">
        <f t="array" ref="H43">_xlfn.IFS(P43=0, 1, P43=7, 2, P43=5, 3)</f>
        <v>2</v>
      </c>
      <c r="I43" cm="1">
        <f t="array" ref="I43">_xlfn.IFS(H43=1, IF(AC43=0, P43, PO43), H43=2, IF(AC43=0, P43, AFN43), H43=3, IF(AC43=0, P43, AVM43))</f>
        <v>2</v>
      </c>
      <c r="J43" cm="1">
        <f t="array" ref="J43">_xlfn.IFS(I43=0, 1, I43=1, 0, I43=2, 7, I43=7, 2, I43=5, 6, I43=6, 5)</f>
        <v>7</v>
      </c>
      <c r="K43" t="str" cm="1">
        <f t="array" ref="K43">_xlfn.IFNA(_xlfn.IFS(P43&lt;&gt;P44, 1, A43&lt;&gt;A44, IF(P44=P43, 1)), "")</f>
        <v/>
      </c>
      <c r="L43" t="str">
        <f t="shared" si="7"/>
        <v/>
      </c>
      <c r="M43" t="s">
        <v>1748</v>
      </c>
      <c r="N43" t="s">
        <v>1718</v>
      </c>
      <c r="P43">
        <v>7</v>
      </c>
      <c r="Q43">
        <v>30</v>
      </c>
      <c r="R43">
        <v>14</v>
      </c>
      <c r="S43">
        <v>18</v>
      </c>
      <c r="T43">
        <v>3</v>
      </c>
      <c r="U43">
        <v>0</v>
      </c>
      <c r="V43">
        <v>0</v>
      </c>
      <c r="W43">
        <v>10</v>
      </c>
      <c r="X43">
        <v>1</v>
      </c>
      <c r="Y43">
        <v>2</v>
      </c>
      <c r="Z43">
        <v>1</v>
      </c>
      <c r="AA43">
        <v>333</v>
      </c>
      <c r="AB43">
        <v>387</v>
      </c>
      <c r="AC43">
        <v>1</v>
      </c>
      <c r="AD43">
        <v>37</v>
      </c>
      <c r="AE43">
        <v>3</v>
      </c>
      <c r="AF43" t="s">
        <v>1678</v>
      </c>
      <c r="AG43">
        <v>7</v>
      </c>
      <c r="AH43" t="s">
        <v>1671</v>
      </c>
      <c r="AI43">
        <v>11</v>
      </c>
      <c r="AJ43">
        <v>13</v>
      </c>
      <c r="AK43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0.78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</v>
      </c>
      <c r="CX43">
        <v>3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3</v>
      </c>
      <c r="FC43">
        <v>0</v>
      </c>
      <c r="FD43">
        <v>0</v>
      </c>
      <c r="FE43">
        <v>0</v>
      </c>
      <c r="FF43">
        <v>0</v>
      </c>
      <c r="FG43">
        <v>3</v>
      </c>
      <c r="FH43">
        <v>0</v>
      </c>
      <c r="FI43">
        <v>3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6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2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</v>
      </c>
      <c r="HT43">
        <v>0</v>
      </c>
      <c r="HU43">
        <v>0</v>
      </c>
      <c r="HV43">
        <v>0</v>
      </c>
      <c r="HW43">
        <v>3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1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1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7</v>
      </c>
      <c r="PP43">
        <v>45</v>
      </c>
      <c r="PQ43">
        <v>14</v>
      </c>
      <c r="PR43">
        <v>20</v>
      </c>
      <c r="PS43">
        <v>4</v>
      </c>
      <c r="PT43">
        <v>0</v>
      </c>
      <c r="PU43">
        <v>0</v>
      </c>
      <c r="PV43">
        <v>9</v>
      </c>
      <c r="PW43">
        <v>2</v>
      </c>
      <c r="PX43">
        <v>2</v>
      </c>
      <c r="PY43">
        <v>1</v>
      </c>
      <c r="PZ43">
        <v>327</v>
      </c>
      <c r="QA43">
        <v>387</v>
      </c>
      <c r="QB43">
        <v>1</v>
      </c>
      <c r="QC43">
        <v>39</v>
      </c>
      <c r="QD43">
        <v>2</v>
      </c>
      <c r="QE43" t="s">
        <v>1678</v>
      </c>
      <c r="QF43">
        <v>8</v>
      </c>
      <c r="QG43" t="s">
        <v>1678</v>
      </c>
      <c r="QH43">
        <v>10</v>
      </c>
      <c r="QI43">
        <v>13</v>
      </c>
      <c r="QJ43">
        <v>4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0.7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4</v>
      </c>
      <c r="RC43">
        <v>3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1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2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3</v>
      </c>
      <c r="VG43">
        <v>0</v>
      </c>
      <c r="VH43">
        <v>5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6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2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2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9</v>
      </c>
      <c r="XW43">
        <v>0</v>
      </c>
      <c r="XX43">
        <v>0</v>
      </c>
      <c r="XY43">
        <v>1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1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2</v>
      </c>
      <c r="AFO43">
        <v>74</v>
      </c>
      <c r="AFP43">
        <v>21</v>
      </c>
      <c r="AFQ43">
        <v>13</v>
      </c>
      <c r="AFR43">
        <v>8</v>
      </c>
      <c r="AFS43">
        <v>0</v>
      </c>
      <c r="AFT43">
        <v>0</v>
      </c>
      <c r="AFU43">
        <v>15</v>
      </c>
      <c r="AFV43">
        <v>1</v>
      </c>
      <c r="AFW43">
        <v>5</v>
      </c>
      <c r="AFX43">
        <v>0</v>
      </c>
      <c r="AFY43">
        <v>348</v>
      </c>
      <c r="AFZ43">
        <v>387</v>
      </c>
      <c r="AGA43">
        <v>0</v>
      </c>
      <c r="AGB43">
        <v>56</v>
      </c>
      <c r="AGC43">
        <v>4</v>
      </c>
      <c r="AGD43" t="s">
        <v>1676</v>
      </c>
      <c r="AGE43">
        <v>11</v>
      </c>
      <c r="AGF43" t="s">
        <v>1676</v>
      </c>
      <c r="AGG43">
        <v>7</v>
      </c>
      <c r="AGH43">
        <v>18</v>
      </c>
      <c r="AGI43">
        <v>6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1.62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7</v>
      </c>
      <c r="AHB43">
        <v>5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2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1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1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1</v>
      </c>
      <c r="ALA43">
        <v>0</v>
      </c>
      <c r="ALB43">
        <v>0</v>
      </c>
      <c r="ALC43">
        <v>0</v>
      </c>
      <c r="ALD43">
        <v>0</v>
      </c>
      <c r="ALE43">
        <v>2</v>
      </c>
      <c r="ALF43">
        <v>0</v>
      </c>
      <c r="ALG43">
        <v>4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7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5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1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4</v>
      </c>
      <c r="ANR43">
        <v>0</v>
      </c>
      <c r="ANS43">
        <v>0</v>
      </c>
      <c r="ANT43">
        <v>0</v>
      </c>
      <c r="ANU43">
        <v>9</v>
      </c>
      <c r="ANV43">
        <v>0</v>
      </c>
      <c r="ANW43">
        <v>0</v>
      </c>
      <c r="ANX43">
        <v>6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1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2</v>
      </c>
      <c r="AVN43">
        <v>76</v>
      </c>
      <c r="AVO43">
        <v>17</v>
      </c>
      <c r="AVP43">
        <v>15</v>
      </c>
      <c r="AVQ43">
        <v>4</v>
      </c>
      <c r="AVR43">
        <v>0</v>
      </c>
      <c r="AVS43">
        <v>0</v>
      </c>
      <c r="AVT43">
        <v>11</v>
      </c>
      <c r="AVU43">
        <v>0</v>
      </c>
      <c r="AVV43">
        <v>4</v>
      </c>
      <c r="AVW43">
        <v>2</v>
      </c>
      <c r="AVX43">
        <v>342</v>
      </c>
      <c r="AVY43">
        <v>387</v>
      </c>
      <c r="AVZ43">
        <v>0</v>
      </c>
      <c r="AWA43">
        <v>39</v>
      </c>
      <c r="AWB43">
        <v>4</v>
      </c>
      <c r="AWC43" t="s">
        <v>1680</v>
      </c>
      <c r="AWD43">
        <v>10</v>
      </c>
      <c r="AWE43" t="s">
        <v>1680</v>
      </c>
      <c r="AWF43">
        <v>8</v>
      </c>
      <c r="AWG43">
        <v>13</v>
      </c>
      <c r="AWH43">
        <v>5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1.1299999999999999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4</v>
      </c>
      <c r="AXA43">
        <v>3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2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1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2</v>
      </c>
      <c r="BAZ43">
        <v>0</v>
      </c>
      <c r="BBA43">
        <v>0</v>
      </c>
      <c r="BBB43">
        <v>0</v>
      </c>
      <c r="BBC43">
        <v>0</v>
      </c>
      <c r="BBD43">
        <v>2</v>
      </c>
      <c r="BBE43">
        <v>0</v>
      </c>
      <c r="BBF43">
        <v>2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7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1</v>
      </c>
      <c r="BCN43">
        <v>0</v>
      </c>
      <c r="BCO43">
        <v>0</v>
      </c>
      <c r="BCP43">
        <v>0</v>
      </c>
      <c r="BCQ43">
        <v>0</v>
      </c>
      <c r="BCR43">
        <v>4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1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2</v>
      </c>
      <c r="BDQ43">
        <v>0</v>
      </c>
      <c r="BDR43">
        <v>0</v>
      </c>
      <c r="BDS43">
        <v>0</v>
      </c>
      <c r="BDT43">
        <v>4</v>
      </c>
      <c r="BDU43">
        <v>0</v>
      </c>
      <c r="BDV43">
        <v>0</v>
      </c>
      <c r="BDW43">
        <v>3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1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</row>
    <row r="44" spans="1:1675" x14ac:dyDescent="0.2">
      <c r="A44">
        <v>4</v>
      </c>
      <c r="B44">
        <v>6</v>
      </c>
      <c r="C44">
        <f t="shared" si="6"/>
        <v>79</v>
      </c>
      <c r="D44">
        <f t="shared" si="14"/>
        <v>959</v>
      </c>
      <c r="E44">
        <f t="shared" si="15"/>
        <v>43</v>
      </c>
      <c r="F44">
        <f t="shared" si="8"/>
        <v>7</v>
      </c>
      <c r="G44">
        <f t="shared" si="13"/>
        <v>4</v>
      </c>
      <c r="H44" cm="1">
        <f t="array" ref="H44">_xlfn.IFS(P44=0, 1, P44=7, 2, P44=5, 3)</f>
        <v>2</v>
      </c>
      <c r="I44" cm="1">
        <f t="array" ref="I44">_xlfn.IFS(H44=1, IF(AC44=0, P44, PO44), H44=2, IF(AC44=0, P44, AFN44), H44=3, IF(AC44=0, P44, AVM44))</f>
        <v>7</v>
      </c>
      <c r="J44" cm="1">
        <f t="array" ref="J44">_xlfn.IFS(I44=0, 1, I44=1, 0, I44=2, 7, I44=7, 2, I44=5, 6, I44=6, 5)</f>
        <v>2</v>
      </c>
      <c r="K44" t="str" cm="1">
        <f t="array" ref="K44">_xlfn.IFNA(_xlfn.IFS(P44&lt;&gt;P45, 1, A44&lt;&gt;A45, IF(P45=P44, 1)), "")</f>
        <v/>
      </c>
      <c r="L44" t="str">
        <f t="shared" si="7"/>
        <v/>
      </c>
      <c r="M44" t="s">
        <v>1745</v>
      </c>
      <c r="N44" t="s">
        <v>1719</v>
      </c>
      <c r="P44">
        <v>7</v>
      </c>
      <c r="Q44">
        <v>73</v>
      </c>
      <c r="R44">
        <v>18</v>
      </c>
      <c r="S44">
        <v>11</v>
      </c>
      <c r="T44">
        <v>4</v>
      </c>
      <c r="U44">
        <v>0</v>
      </c>
      <c r="V44">
        <v>0</v>
      </c>
      <c r="W44">
        <v>15</v>
      </c>
      <c r="X44">
        <v>1</v>
      </c>
      <c r="Y44">
        <v>2</v>
      </c>
      <c r="Z44">
        <v>0</v>
      </c>
      <c r="AA44">
        <v>433</v>
      </c>
      <c r="AB44">
        <v>465</v>
      </c>
      <c r="AC44">
        <v>0</v>
      </c>
      <c r="AD44">
        <v>47</v>
      </c>
      <c r="AE44">
        <v>9</v>
      </c>
      <c r="AF44" t="s">
        <v>1678</v>
      </c>
      <c r="AG44">
        <v>10</v>
      </c>
      <c r="AH44" t="s">
        <v>1671</v>
      </c>
      <c r="AI44">
        <v>7</v>
      </c>
      <c r="AJ44">
        <v>19</v>
      </c>
      <c r="AK44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1.64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</v>
      </c>
      <c r="BD44">
        <v>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4</v>
      </c>
      <c r="FC44">
        <v>0</v>
      </c>
      <c r="FD44">
        <v>0</v>
      </c>
      <c r="FE44">
        <v>0</v>
      </c>
      <c r="FF44">
        <v>0</v>
      </c>
      <c r="FG44">
        <v>3</v>
      </c>
      <c r="FH44">
        <v>0</v>
      </c>
      <c r="FI44">
        <v>5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3</v>
      </c>
      <c r="FU44">
        <v>1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4</v>
      </c>
      <c r="GO44">
        <v>0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3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2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2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1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7</v>
      </c>
      <c r="PP44">
        <v>77</v>
      </c>
      <c r="PQ44">
        <v>13</v>
      </c>
      <c r="PR44">
        <v>11</v>
      </c>
      <c r="PS44">
        <v>6</v>
      </c>
      <c r="PT44">
        <v>0</v>
      </c>
      <c r="PU44">
        <v>0</v>
      </c>
      <c r="PV44">
        <v>7</v>
      </c>
      <c r="PW44">
        <v>2</v>
      </c>
      <c r="PX44">
        <v>1</v>
      </c>
      <c r="PY44">
        <v>3</v>
      </c>
      <c r="PZ44">
        <v>432</v>
      </c>
      <c r="QA44">
        <v>465</v>
      </c>
      <c r="QB44">
        <v>0</v>
      </c>
      <c r="QC44">
        <v>31</v>
      </c>
      <c r="QD44">
        <v>4</v>
      </c>
      <c r="QE44" t="s">
        <v>1678</v>
      </c>
      <c r="QF44">
        <v>7</v>
      </c>
      <c r="QG44" t="s">
        <v>1671</v>
      </c>
      <c r="QH44">
        <v>7</v>
      </c>
      <c r="QI44">
        <v>13</v>
      </c>
      <c r="QJ44">
        <v>2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1.18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5</v>
      </c>
      <c r="RC44">
        <v>1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1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1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2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1</v>
      </c>
      <c r="VB44">
        <v>0</v>
      </c>
      <c r="VC44">
        <v>0</v>
      </c>
      <c r="VD44">
        <v>0</v>
      </c>
      <c r="VE44">
        <v>0</v>
      </c>
      <c r="VF44">
        <v>2</v>
      </c>
      <c r="VG44">
        <v>0</v>
      </c>
      <c r="VH44">
        <v>2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4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1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1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1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4</v>
      </c>
      <c r="XW44">
        <v>0</v>
      </c>
      <c r="XX44">
        <v>0</v>
      </c>
      <c r="XY44">
        <v>1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1</v>
      </c>
      <c r="ZT44">
        <v>0</v>
      </c>
      <c r="ZU44">
        <v>2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1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2</v>
      </c>
      <c r="AFO44">
        <v>16</v>
      </c>
      <c r="AFP44">
        <v>14</v>
      </c>
      <c r="AFQ44">
        <v>14</v>
      </c>
      <c r="AFR44">
        <v>3</v>
      </c>
      <c r="AFS44">
        <v>0</v>
      </c>
      <c r="AFT44">
        <v>0</v>
      </c>
      <c r="AFU44">
        <v>10</v>
      </c>
      <c r="AFV44">
        <v>2</v>
      </c>
      <c r="AFW44">
        <v>0</v>
      </c>
      <c r="AFX44">
        <v>2</v>
      </c>
      <c r="AFY44">
        <v>423</v>
      </c>
      <c r="AFZ44">
        <v>465</v>
      </c>
      <c r="AGA44">
        <v>1</v>
      </c>
      <c r="AGB44">
        <v>36</v>
      </c>
      <c r="AGC44">
        <v>5</v>
      </c>
      <c r="AGD44" t="s">
        <v>1680</v>
      </c>
      <c r="AGE44">
        <v>7</v>
      </c>
      <c r="AGF44" t="s">
        <v>1676</v>
      </c>
      <c r="AGG44">
        <v>8</v>
      </c>
      <c r="AGH44">
        <v>19</v>
      </c>
      <c r="AGI44">
        <v>3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1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3</v>
      </c>
      <c r="AHB44">
        <v>2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1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2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2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1</v>
      </c>
      <c r="ALF44">
        <v>0</v>
      </c>
      <c r="ALG44">
        <v>3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4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1</v>
      </c>
      <c r="ALZ44">
        <v>0</v>
      </c>
      <c r="AMA44">
        <v>1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3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2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1</v>
      </c>
      <c r="ANR44">
        <v>0</v>
      </c>
      <c r="ANS44">
        <v>0</v>
      </c>
      <c r="ANT44">
        <v>0</v>
      </c>
      <c r="ANU44">
        <v>4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1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1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2</v>
      </c>
      <c r="APS44">
        <v>0</v>
      </c>
      <c r="APT44">
        <v>1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1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2</v>
      </c>
      <c r="AVN44">
        <v>63</v>
      </c>
      <c r="AVO44">
        <v>8</v>
      </c>
      <c r="AVP44">
        <v>17</v>
      </c>
      <c r="AVQ44">
        <v>2</v>
      </c>
      <c r="AVR44">
        <v>0</v>
      </c>
      <c r="AVS44">
        <v>0</v>
      </c>
      <c r="AVT44">
        <v>7</v>
      </c>
      <c r="AVU44">
        <v>0</v>
      </c>
      <c r="AVV44">
        <v>0</v>
      </c>
      <c r="AVW44">
        <v>1</v>
      </c>
      <c r="AVX44">
        <v>416</v>
      </c>
      <c r="AVY44">
        <v>465</v>
      </c>
      <c r="AVZ44">
        <v>1</v>
      </c>
      <c r="AWA44">
        <v>22</v>
      </c>
      <c r="AWB44">
        <v>3</v>
      </c>
      <c r="AWC44" t="s">
        <v>1680</v>
      </c>
      <c r="AWD44">
        <v>4</v>
      </c>
      <c r="AWE44" t="s">
        <v>1676</v>
      </c>
      <c r="AWF44">
        <v>10</v>
      </c>
      <c r="AWG44">
        <v>13</v>
      </c>
      <c r="AWH44">
        <v>5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0.47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2</v>
      </c>
      <c r="AXA44">
        <v>2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1</v>
      </c>
      <c r="AYU44">
        <v>2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1</v>
      </c>
      <c r="BAZ44">
        <v>0</v>
      </c>
      <c r="BBA44">
        <v>0</v>
      </c>
      <c r="BBB44">
        <v>0</v>
      </c>
      <c r="BBC44">
        <v>0</v>
      </c>
      <c r="BBD44">
        <v>2</v>
      </c>
      <c r="BBE44">
        <v>0</v>
      </c>
      <c r="BBF44">
        <v>4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7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1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</row>
    <row r="45" spans="1:1675" x14ac:dyDescent="0.2">
      <c r="A45">
        <v>4</v>
      </c>
      <c r="B45">
        <v>6</v>
      </c>
      <c r="C45">
        <f t="shared" si="6"/>
        <v>79</v>
      </c>
      <c r="D45">
        <f t="shared" si="14"/>
        <v>960</v>
      </c>
      <c r="E45">
        <f t="shared" si="15"/>
        <v>44</v>
      </c>
      <c r="F45">
        <f t="shared" si="8"/>
        <v>8</v>
      </c>
      <c r="G45">
        <f t="shared" si="13"/>
        <v>5</v>
      </c>
      <c r="H45" cm="1">
        <f t="array" ref="H45">_xlfn.IFS(P45=0, 1, P45=7, 2, P45=5, 3)</f>
        <v>2</v>
      </c>
      <c r="I45" cm="1">
        <f t="array" ref="I45">_xlfn.IFS(H45=1, IF(AC45=0, P45, PO45), H45=2, IF(AC45=0, P45, AFN45), H45=3, IF(AC45=0, P45, AVM45))</f>
        <v>7</v>
      </c>
      <c r="J45" cm="1">
        <f t="array" ref="J45">_xlfn.IFS(I45=0, 1, I45=1, 0, I45=2, 7, I45=7, 2, I45=5, 6, I45=6, 5)</f>
        <v>2</v>
      </c>
      <c r="K45" cm="1">
        <f t="array" ref="K45">_xlfn.IFNA(_xlfn.IFS(P45&lt;&gt;P46, 1, A45&lt;&gt;A46, IF(P46=P45, 1)), "")</f>
        <v>1</v>
      </c>
      <c r="L45">
        <f t="shared" si="7"/>
        <v>7</v>
      </c>
      <c r="M45" t="s">
        <v>1726</v>
      </c>
      <c r="N45" t="s">
        <v>1720</v>
      </c>
      <c r="P45">
        <v>7</v>
      </c>
      <c r="Q45">
        <v>102</v>
      </c>
      <c r="R45">
        <v>30</v>
      </c>
      <c r="S45">
        <v>16</v>
      </c>
      <c r="T45">
        <v>3</v>
      </c>
      <c r="U45">
        <v>0</v>
      </c>
      <c r="V45">
        <v>0</v>
      </c>
      <c r="W45">
        <v>23</v>
      </c>
      <c r="X45">
        <v>1</v>
      </c>
      <c r="Y45">
        <v>5</v>
      </c>
      <c r="Z45">
        <v>1</v>
      </c>
      <c r="AA45">
        <v>411</v>
      </c>
      <c r="AB45">
        <v>459</v>
      </c>
      <c r="AC45">
        <v>0</v>
      </c>
      <c r="AD45">
        <v>71</v>
      </c>
      <c r="AE45">
        <v>7</v>
      </c>
      <c r="AF45" t="s">
        <v>1678</v>
      </c>
      <c r="AG45">
        <v>19</v>
      </c>
      <c r="AH45" t="s">
        <v>1671</v>
      </c>
      <c r="AI45">
        <v>11</v>
      </c>
      <c r="AJ45">
        <v>13</v>
      </c>
      <c r="AK45">
        <v>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1.88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3</v>
      </c>
      <c r="BD45">
        <v>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8</v>
      </c>
      <c r="FC45">
        <v>0</v>
      </c>
      <c r="FD45">
        <v>0</v>
      </c>
      <c r="FE45">
        <v>0</v>
      </c>
      <c r="FF45">
        <v>0</v>
      </c>
      <c r="FG45">
        <v>7</v>
      </c>
      <c r="FH45">
        <v>0</v>
      </c>
      <c r="FI45">
        <v>4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10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2</v>
      </c>
      <c r="GB45">
        <v>0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3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5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4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3</v>
      </c>
      <c r="HT45">
        <v>0</v>
      </c>
      <c r="HU45">
        <v>0</v>
      </c>
      <c r="HV45">
        <v>0</v>
      </c>
      <c r="HW45">
        <v>6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2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7</v>
      </c>
      <c r="PP45">
        <v>48</v>
      </c>
      <c r="PQ45">
        <v>20</v>
      </c>
      <c r="PR45">
        <v>25</v>
      </c>
      <c r="PS45">
        <v>7</v>
      </c>
      <c r="PT45">
        <v>0</v>
      </c>
      <c r="PU45">
        <v>0</v>
      </c>
      <c r="PV45">
        <v>8</v>
      </c>
      <c r="PW45">
        <v>1</v>
      </c>
      <c r="PX45">
        <v>11</v>
      </c>
      <c r="PY45">
        <v>0</v>
      </c>
      <c r="PZ45">
        <v>386</v>
      </c>
      <c r="QA45">
        <v>459</v>
      </c>
      <c r="QB45">
        <v>0</v>
      </c>
      <c r="QC45">
        <v>44</v>
      </c>
      <c r="QD45">
        <v>3</v>
      </c>
      <c r="QE45" t="s">
        <v>1671</v>
      </c>
      <c r="QF45">
        <v>10</v>
      </c>
      <c r="QG45" t="s">
        <v>1678</v>
      </c>
      <c r="QH45">
        <v>14</v>
      </c>
      <c r="QI45">
        <v>75</v>
      </c>
      <c r="QJ45">
        <v>8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0.8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7</v>
      </c>
      <c r="RC45">
        <v>3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1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1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1</v>
      </c>
      <c r="SW45">
        <v>3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1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1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1</v>
      </c>
      <c r="UU45">
        <v>0</v>
      </c>
      <c r="UV45">
        <v>0</v>
      </c>
      <c r="UW45">
        <v>0</v>
      </c>
      <c r="UX45">
        <v>0</v>
      </c>
      <c r="UY45">
        <v>1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1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6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8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1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6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2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2</v>
      </c>
      <c r="AFO45">
        <v>52</v>
      </c>
      <c r="AFP45">
        <v>22</v>
      </c>
      <c r="AFQ45">
        <v>21</v>
      </c>
      <c r="AFR45">
        <v>9</v>
      </c>
      <c r="AFS45">
        <v>0</v>
      </c>
      <c r="AFT45">
        <v>0</v>
      </c>
      <c r="AFU45">
        <v>17</v>
      </c>
      <c r="AFV45">
        <v>3</v>
      </c>
      <c r="AFW45">
        <v>1</v>
      </c>
      <c r="AFX45">
        <v>1</v>
      </c>
      <c r="AFY45">
        <v>396</v>
      </c>
      <c r="AFZ45">
        <v>459</v>
      </c>
      <c r="AGA45">
        <v>1</v>
      </c>
      <c r="AGB45">
        <v>62</v>
      </c>
      <c r="AGC45">
        <v>6</v>
      </c>
      <c r="AGD45" t="s">
        <v>1676</v>
      </c>
      <c r="AGE45">
        <v>11</v>
      </c>
      <c r="AGF45" t="s">
        <v>1676</v>
      </c>
      <c r="AGG45">
        <v>11</v>
      </c>
      <c r="AGH45">
        <v>13</v>
      </c>
      <c r="AGI45">
        <v>6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1.05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8</v>
      </c>
      <c r="AHB45">
        <v>8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1</v>
      </c>
      <c r="AIV45">
        <v>2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2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2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4</v>
      </c>
      <c r="ALA45">
        <v>0</v>
      </c>
      <c r="ALB45">
        <v>0</v>
      </c>
      <c r="ALC45">
        <v>0</v>
      </c>
      <c r="ALD45">
        <v>0</v>
      </c>
      <c r="ALE45">
        <v>3</v>
      </c>
      <c r="ALF45">
        <v>0</v>
      </c>
      <c r="ALG45">
        <v>4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11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1</v>
      </c>
      <c r="ALZ45">
        <v>0</v>
      </c>
      <c r="AMA45">
        <v>1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1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1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2</v>
      </c>
      <c r="ANR45">
        <v>0</v>
      </c>
      <c r="ANS45">
        <v>0</v>
      </c>
      <c r="ANT45">
        <v>0</v>
      </c>
      <c r="ANU45">
        <v>7</v>
      </c>
      <c r="ANV45">
        <v>0</v>
      </c>
      <c r="ANW45">
        <v>0</v>
      </c>
      <c r="ANX45">
        <v>2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1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2</v>
      </c>
      <c r="AVN45">
        <v>43</v>
      </c>
      <c r="AVO45">
        <v>19</v>
      </c>
      <c r="AVP45">
        <v>29</v>
      </c>
      <c r="AVQ45">
        <v>10</v>
      </c>
      <c r="AVR45">
        <v>0</v>
      </c>
      <c r="AVS45">
        <v>0</v>
      </c>
      <c r="AVT45">
        <v>11</v>
      </c>
      <c r="AVU45">
        <v>1</v>
      </c>
      <c r="AVV45">
        <v>6</v>
      </c>
      <c r="AVW45">
        <v>1</v>
      </c>
      <c r="AVX45">
        <v>372</v>
      </c>
      <c r="AVY45">
        <v>459</v>
      </c>
      <c r="AVZ45">
        <v>1</v>
      </c>
      <c r="AWA45">
        <v>55</v>
      </c>
      <c r="AWB45">
        <v>3</v>
      </c>
      <c r="AWC45" t="s">
        <v>1680</v>
      </c>
      <c r="AWD45">
        <v>14</v>
      </c>
      <c r="AWE45" t="s">
        <v>1676</v>
      </c>
      <c r="AWF45">
        <v>19</v>
      </c>
      <c r="AWG45">
        <v>13</v>
      </c>
      <c r="AWH45">
        <v>6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0.66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10</v>
      </c>
      <c r="AXA45">
        <v>4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1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4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1</v>
      </c>
      <c r="BAS45">
        <v>0</v>
      </c>
      <c r="BAT45">
        <v>0</v>
      </c>
      <c r="BAU45">
        <v>0</v>
      </c>
      <c r="BAV45">
        <v>0</v>
      </c>
      <c r="BAW45">
        <v>2</v>
      </c>
      <c r="BAX45">
        <v>0</v>
      </c>
      <c r="BAY45">
        <v>1</v>
      </c>
      <c r="BAZ45">
        <v>0</v>
      </c>
      <c r="BBA45">
        <v>0</v>
      </c>
      <c r="BBB45">
        <v>0</v>
      </c>
      <c r="BBC45">
        <v>0</v>
      </c>
      <c r="BBD45">
        <v>2</v>
      </c>
      <c r="BBE45">
        <v>0</v>
      </c>
      <c r="BBF45">
        <v>2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8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1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4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3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2</v>
      </c>
      <c r="BDQ45">
        <v>0</v>
      </c>
      <c r="BDR45">
        <v>0</v>
      </c>
      <c r="BDS45">
        <v>0</v>
      </c>
      <c r="BDT45">
        <v>8</v>
      </c>
      <c r="BDU45">
        <v>0</v>
      </c>
      <c r="BDV45">
        <v>0</v>
      </c>
      <c r="BDW45">
        <v>2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</row>
    <row r="46" spans="1:1675" x14ac:dyDescent="0.2">
      <c r="A46">
        <v>4</v>
      </c>
      <c r="B46">
        <v>6</v>
      </c>
      <c r="C46">
        <f t="shared" si="6"/>
        <v>79</v>
      </c>
      <c r="D46">
        <f t="shared" si="14"/>
        <v>961</v>
      </c>
      <c r="E46">
        <f t="shared" si="15"/>
        <v>45</v>
      </c>
      <c r="F46">
        <f t="shared" si="8"/>
        <v>9</v>
      </c>
      <c r="G46">
        <f t="shared" si="13"/>
        <v>1</v>
      </c>
      <c r="H46" cm="1">
        <f t="array" ref="H46">_xlfn.IFS(P46=0, 1, P46=7, 2, P46=5, 3)</f>
        <v>1</v>
      </c>
      <c r="I46" cm="1">
        <f t="array" ref="I46">_xlfn.IFS(H46=1, IF(AC46=0, P46, PO46), H46=2, IF(AC46=0, P46, AFN46), H46=3, IF(AC46=0, P46, AVM46))</f>
        <v>0</v>
      </c>
      <c r="J46" cm="1">
        <f t="array" ref="J46">_xlfn.IFS(I46=0, 1, I46=1, 0, I46=2, 7, I46=7, 2, I46=5, 6, I46=6, 5)</f>
        <v>1</v>
      </c>
      <c r="K46" t="str" cm="1">
        <f t="array" ref="K46">_xlfn.IFNA(_xlfn.IFS(P46&lt;&gt;P47, 1, A46&lt;&gt;A47, IF(P47=P46, 1)), "")</f>
        <v/>
      </c>
      <c r="L46" t="str">
        <f t="shared" si="7"/>
        <v/>
      </c>
      <c r="M46" t="s">
        <v>1734</v>
      </c>
      <c r="N46" t="s">
        <v>1721</v>
      </c>
      <c r="P46">
        <v>0</v>
      </c>
      <c r="Q46">
        <v>83</v>
      </c>
      <c r="R46">
        <v>22</v>
      </c>
      <c r="S46">
        <v>18</v>
      </c>
      <c r="T46">
        <v>8</v>
      </c>
      <c r="U46">
        <v>0</v>
      </c>
      <c r="V46">
        <v>0</v>
      </c>
      <c r="W46">
        <v>10</v>
      </c>
      <c r="X46">
        <v>5</v>
      </c>
      <c r="Y46">
        <v>6</v>
      </c>
      <c r="Z46">
        <v>1</v>
      </c>
      <c r="AA46">
        <v>360</v>
      </c>
      <c r="AB46">
        <v>413</v>
      </c>
      <c r="AC46">
        <v>0</v>
      </c>
      <c r="AD46">
        <v>62</v>
      </c>
      <c r="AE46">
        <v>8</v>
      </c>
      <c r="AF46" t="s">
        <v>1680</v>
      </c>
      <c r="AG46">
        <v>14</v>
      </c>
      <c r="AH46" t="s">
        <v>1680</v>
      </c>
      <c r="AI46">
        <v>11</v>
      </c>
      <c r="AJ46">
        <v>13</v>
      </c>
      <c r="AK46">
        <v>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1.22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7</v>
      </c>
      <c r="BD46">
        <v>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3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4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2</v>
      </c>
      <c r="FC46">
        <v>0</v>
      </c>
      <c r="FD46">
        <v>0</v>
      </c>
      <c r="FE46">
        <v>0</v>
      </c>
      <c r="FF46">
        <v>0</v>
      </c>
      <c r="FG46">
        <v>3</v>
      </c>
      <c r="FH46">
        <v>0</v>
      </c>
      <c r="FI46">
        <v>6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8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2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3</v>
      </c>
      <c r="HT46">
        <v>0</v>
      </c>
      <c r="HU46">
        <v>0</v>
      </c>
      <c r="HV46">
        <v>0</v>
      </c>
      <c r="HW46">
        <v>5</v>
      </c>
      <c r="HX46">
        <v>0</v>
      </c>
      <c r="HY46">
        <v>0</v>
      </c>
      <c r="HZ46">
        <v>1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4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1</v>
      </c>
      <c r="PP46">
        <v>37</v>
      </c>
      <c r="PQ46">
        <v>21</v>
      </c>
      <c r="PR46">
        <v>22</v>
      </c>
      <c r="PS46">
        <v>4</v>
      </c>
      <c r="PT46">
        <v>0</v>
      </c>
      <c r="PU46">
        <v>0</v>
      </c>
      <c r="PV46">
        <v>10</v>
      </c>
      <c r="PW46">
        <v>2</v>
      </c>
      <c r="PX46">
        <v>9</v>
      </c>
      <c r="PY46">
        <v>0</v>
      </c>
      <c r="PZ46">
        <v>349</v>
      </c>
      <c r="QA46">
        <v>413</v>
      </c>
      <c r="QB46">
        <v>1</v>
      </c>
      <c r="QC46">
        <v>54</v>
      </c>
      <c r="QD46">
        <v>3</v>
      </c>
      <c r="QE46" t="s">
        <v>1676</v>
      </c>
      <c r="QF46">
        <v>11</v>
      </c>
      <c r="QG46" t="s">
        <v>1676</v>
      </c>
      <c r="QH46">
        <v>14</v>
      </c>
      <c r="QI46">
        <v>75</v>
      </c>
      <c r="QJ46">
        <v>9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0.95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3</v>
      </c>
      <c r="RC46">
        <v>8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1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1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1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2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1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2</v>
      </c>
      <c r="VB46">
        <v>0</v>
      </c>
      <c r="VC46">
        <v>0</v>
      </c>
      <c r="VD46">
        <v>0</v>
      </c>
      <c r="VE46">
        <v>0</v>
      </c>
      <c r="VF46">
        <v>2</v>
      </c>
      <c r="VG46">
        <v>0</v>
      </c>
      <c r="VH46">
        <v>3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3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1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9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1</v>
      </c>
      <c r="XH46">
        <v>0</v>
      </c>
      <c r="XI46">
        <v>2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4</v>
      </c>
      <c r="XS46">
        <v>0</v>
      </c>
      <c r="XT46">
        <v>0</v>
      </c>
      <c r="XU46">
        <v>0</v>
      </c>
      <c r="XV46">
        <v>7</v>
      </c>
      <c r="XW46">
        <v>0</v>
      </c>
      <c r="XX46">
        <v>0</v>
      </c>
      <c r="XY46">
        <v>2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1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1</v>
      </c>
      <c r="AFO46">
        <v>35</v>
      </c>
      <c r="AFP46">
        <v>18</v>
      </c>
      <c r="AFQ46">
        <v>22</v>
      </c>
      <c r="AFR46">
        <v>7</v>
      </c>
      <c r="AFS46">
        <v>0</v>
      </c>
      <c r="AFT46">
        <v>0</v>
      </c>
      <c r="AFU46">
        <v>11</v>
      </c>
      <c r="AFV46">
        <v>6</v>
      </c>
      <c r="AFW46">
        <v>0</v>
      </c>
      <c r="AFX46">
        <v>1</v>
      </c>
      <c r="AFY46">
        <v>350</v>
      </c>
      <c r="AFZ46">
        <v>414</v>
      </c>
      <c r="AGA46">
        <v>1</v>
      </c>
      <c r="AGB46">
        <v>53</v>
      </c>
      <c r="AGC46">
        <v>4</v>
      </c>
      <c r="AGD46" t="s">
        <v>1678</v>
      </c>
      <c r="AGE46">
        <v>11</v>
      </c>
      <c r="AGF46" t="s">
        <v>1678</v>
      </c>
      <c r="AGG46">
        <v>14</v>
      </c>
      <c r="AGH46">
        <v>20</v>
      </c>
      <c r="AGI46">
        <v>6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0.82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7</v>
      </c>
      <c r="AHB46">
        <v>3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2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1</v>
      </c>
      <c r="AIV46">
        <v>3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1</v>
      </c>
      <c r="AJD46">
        <v>0</v>
      </c>
      <c r="AJE46">
        <v>0</v>
      </c>
      <c r="AJF46">
        <v>1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1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6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2</v>
      </c>
      <c r="ALA46">
        <v>0</v>
      </c>
      <c r="ALB46">
        <v>0</v>
      </c>
      <c r="ALC46">
        <v>0</v>
      </c>
      <c r="ALD46">
        <v>0</v>
      </c>
      <c r="ALE46">
        <v>3</v>
      </c>
      <c r="ALF46">
        <v>0</v>
      </c>
      <c r="ALG46">
        <v>5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4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4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8</v>
      </c>
      <c r="ANV46">
        <v>0</v>
      </c>
      <c r="ANW46">
        <v>0</v>
      </c>
      <c r="ANX46">
        <v>2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67</v>
      </c>
      <c r="AVO46">
        <v>22</v>
      </c>
      <c r="AVP46">
        <v>21</v>
      </c>
      <c r="AVQ46">
        <v>9</v>
      </c>
      <c r="AVR46">
        <v>0</v>
      </c>
      <c r="AVS46">
        <v>0</v>
      </c>
      <c r="AVT46">
        <v>14</v>
      </c>
      <c r="AVU46">
        <v>2</v>
      </c>
      <c r="AVV46">
        <v>5</v>
      </c>
      <c r="AVW46">
        <v>1</v>
      </c>
      <c r="AVX46">
        <v>351</v>
      </c>
      <c r="AVY46">
        <v>413</v>
      </c>
      <c r="AVZ46">
        <v>0</v>
      </c>
      <c r="AWA46">
        <v>62</v>
      </c>
      <c r="AWB46">
        <v>3</v>
      </c>
      <c r="AWC46" t="s">
        <v>1671</v>
      </c>
      <c r="AWD46">
        <v>14</v>
      </c>
      <c r="AWE46" t="s">
        <v>1671</v>
      </c>
      <c r="AWF46">
        <v>11</v>
      </c>
      <c r="AWG46">
        <v>13</v>
      </c>
      <c r="AWH46">
        <v>5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1.05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9</v>
      </c>
      <c r="AXA46">
        <v>6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1</v>
      </c>
      <c r="AYU46">
        <v>2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2</v>
      </c>
      <c r="AZC46">
        <v>0</v>
      </c>
      <c r="AZD46">
        <v>0</v>
      </c>
      <c r="AZE46">
        <v>1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1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2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7</v>
      </c>
      <c r="BAZ46">
        <v>0</v>
      </c>
      <c r="BBA46">
        <v>0</v>
      </c>
      <c r="BBB46">
        <v>0</v>
      </c>
      <c r="BBC46">
        <v>0</v>
      </c>
      <c r="BBD46">
        <v>3</v>
      </c>
      <c r="BBE46">
        <v>0</v>
      </c>
      <c r="BBF46">
        <v>1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6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1</v>
      </c>
      <c r="BCL46">
        <v>0</v>
      </c>
      <c r="BCM46">
        <v>1</v>
      </c>
      <c r="BCN46">
        <v>0</v>
      </c>
      <c r="BCO46">
        <v>0</v>
      </c>
      <c r="BCP46">
        <v>0</v>
      </c>
      <c r="BCQ46">
        <v>0</v>
      </c>
      <c r="BCR46">
        <v>5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2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2</v>
      </c>
      <c r="BDQ46">
        <v>0</v>
      </c>
      <c r="BDR46">
        <v>0</v>
      </c>
      <c r="BDS46">
        <v>0</v>
      </c>
      <c r="BDT46">
        <v>10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</row>
    <row r="47" spans="1:1675" x14ac:dyDescent="0.2">
      <c r="A47">
        <v>4</v>
      </c>
      <c r="B47">
        <v>6</v>
      </c>
      <c r="C47">
        <f t="shared" si="6"/>
        <v>79</v>
      </c>
      <c r="D47">
        <f t="shared" si="14"/>
        <v>962</v>
      </c>
      <c r="E47">
        <f t="shared" si="15"/>
        <v>46</v>
      </c>
      <c r="F47">
        <f t="shared" si="8"/>
        <v>10</v>
      </c>
      <c r="G47">
        <f t="shared" si="13"/>
        <v>2</v>
      </c>
      <c r="H47" cm="1">
        <f t="array" ref="H47">_xlfn.IFS(P47=0, 1, P47=7, 2, P47=5, 3)</f>
        <v>1</v>
      </c>
      <c r="I47" cm="1">
        <f t="array" ref="I47">_xlfn.IFS(H47=1, IF(AC47=0, P47, PO47), H47=2, IF(AC47=0, P47, AFN47), H47=3, IF(AC47=0, P47, AVM47))</f>
        <v>1</v>
      </c>
      <c r="J47" cm="1">
        <f t="array" ref="J47">_xlfn.IFS(I47=0, 1, I47=1, 0, I47=2, 7, I47=7, 2, I47=5, 6, I47=6, 5)</f>
        <v>0</v>
      </c>
      <c r="K47" t="str" cm="1">
        <f t="array" ref="K47">_xlfn.IFNA(_xlfn.IFS(P47&lt;&gt;P48, 1, A47&lt;&gt;A48, IF(P48=P47, 1)), "")</f>
        <v/>
      </c>
      <c r="L47" t="str">
        <f t="shared" si="7"/>
        <v/>
      </c>
      <c r="M47" t="s">
        <v>1740</v>
      </c>
      <c r="N47" t="s">
        <v>1722</v>
      </c>
      <c r="P47">
        <v>0</v>
      </c>
      <c r="Q47">
        <v>34</v>
      </c>
      <c r="R47">
        <v>20</v>
      </c>
      <c r="S47">
        <v>20</v>
      </c>
      <c r="T47">
        <v>5</v>
      </c>
      <c r="U47">
        <v>0</v>
      </c>
      <c r="V47">
        <v>0</v>
      </c>
      <c r="W47">
        <v>19</v>
      </c>
      <c r="X47">
        <v>0</v>
      </c>
      <c r="Y47">
        <v>1</v>
      </c>
      <c r="Z47">
        <v>0</v>
      </c>
      <c r="AA47">
        <v>348</v>
      </c>
      <c r="AB47">
        <v>404</v>
      </c>
      <c r="AC47">
        <v>1</v>
      </c>
      <c r="AD47">
        <v>55</v>
      </c>
      <c r="AE47">
        <v>5</v>
      </c>
      <c r="AF47" t="s">
        <v>1680</v>
      </c>
      <c r="AG47">
        <v>12</v>
      </c>
      <c r="AH47" t="s">
        <v>1671</v>
      </c>
      <c r="AI47">
        <v>11</v>
      </c>
      <c r="AJ47">
        <v>13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</v>
      </c>
      <c r="BD47">
        <v>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4</v>
      </c>
      <c r="FC47">
        <v>0</v>
      </c>
      <c r="FD47">
        <v>0</v>
      </c>
      <c r="FE47">
        <v>0</v>
      </c>
      <c r="FF47">
        <v>0</v>
      </c>
      <c r="FG47">
        <v>2</v>
      </c>
      <c r="FH47">
        <v>0</v>
      </c>
      <c r="FI47">
        <v>7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2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1</v>
      </c>
      <c r="HT47">
        <v>0</v>
      </c>
      <c r="HU47">
        <v>0</v>
      </c>
      <c r="HV47">
        <v>0</v>
      </c>
      <c r="HW47">
        <v>5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1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1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1</v>
      </c>
      <c r="PP47">
        <v>42</v>
      </c>
      <c r="PQ47">
        <v>20</v>
      </c>
      <c r="PR47">
        <v>22</v>
      </c>
      <c r="PS47">
        <v>8</v>
      </c>
      <c r="PT47">
        <v>0</v>
      </c>
      <c r="PU47">
        <v>0</v>
      </c>
      <c r="PV47">
        <v>9</v>
      </c>
      <c r="PW47">
        <v>5</v>
      </c>
      <c r="PX47">
        <v>6</v>
      </c>
      <c r="PY47">
        <v>0</v>
      </c>
      <c r="PZ47">
        <v>339</v>
      </c>
      <c r="QA47">
        <v>404</v>
      </c>
      <c r="QB47">
        <v>0</v>
      </c>
      <c r="QC47">
        <v>52</v>
      </c>
      <c r="QD47">
        <v>3</v>
      </c>
      <c r="QE47" t="s">
        <v>1678</v>
      </c>
      <c r="QF47">
        <v>11</v>
      </c>
      <c r="QG47" t="s">
        <v>1676</v>
      </c>
      <c r="QH47">
        <v>12</v>
      </c>
      <c r="QI47">
        <v>18</v>
      </c>
      <c r="QJ47">
        <v>5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0.91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8</v>
      </c>
      <c r="RC47">
        <v>5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1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1</v>
      </c>
      <c r="SW47">
        <v>1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2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3</v>
      </c>
      <c r="UU47">
        <v>0</v>
      </c>
      <c r="UV47">
        <v>0</v>
      </c>
      <c r="UW47">
        <v>0</v>
      </c>
      <c r="UX47">
        <v>0</v>
      </c>
      <c r="UY47">
        <v>2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3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1</v>
      </c>
      <c r="VT47">
        <v>1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1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2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2</v>
      </c>
      <c r="XH47">
        <v>0</v>
      </c>
      <c r="XI47">
        <v>2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10</v>
      </c>
      <c r="XW47">
        <v>0</v>
      </c>
      <c r="XX47">
        <v>0</v>
      </c>
      <c r="XY47">
        <v>5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2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1</v>
      </c>
      <c r="AFO47">
        <v>108</v>
      </c>
      <c r="AFP47">
        <v>20</v>
      </c>
      <c r="AFQ47">
        <v>13</v>
      </c>
      <c r="AFR47">
        <v>5</v>
      </c>
      <c r="AFS47">
        <v>0</v>
      </c>
      <c r="AFT47">
        <v>0</v>
      </c>
      <c r="AFU47">
        <v>14</v>
      </c>
      <c r="AFV47">
        <v>4</v>
      </c>
      <c r="AFW47">
        <v>0</v>
      </c>
      <c r="AFX47">
        <v>2</v>
      </c>
      <c r="AFY47">
        <v>365</v>
      </c>
      <c r="AFZ47">
        <v>404</v>
      </c>
      <c r="AGA47">
        <v>0</v>
      </c>
      <c r="AGB47">
        <v>50</v>
      </c>
      <c r="AGC47">
        <v>4</v>
      </c>
      <c r="AGD47" t="s">
        <v>1676</v>
      </c>
      <c r="AGE47">
        <v>11</v>
      </c>
      <c r="AGF47" t="s">
        <v>1676</v>
      </c>
      <c r="AGG47">
        <v>8</v>
      </c>
      <c r="AGH47">
        <v>29</v>
      </c>
      <c r="AGI47">
        <v>6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1.54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5</v>
      </c>
      <c r="AHB47">
        <v>5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1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1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1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4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8</v>
      </c>
      <c r="ALA47">
        <v>0</v>
      </c>
      <c r="ALB47">
        <v>0</v>
      </c>
      <c r="ALC47">
        <v>0</v>
      </c>
      <c r="ALD47">
        <v>0</v>
      </c>
      <c r="ALE47">
        <v>8</v>
      </c>
      <c r="ALF47">
        <v>0</v>
      </c>
      <c r="ALG47">
        <v>3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6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1</v>
      </c>
      <c r="AMM47">
        <v>0</v>
      </c>
      <c r="AMN47">
        <v>1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1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2</v>
      </c>
      <c r="ANR47">
        <v>0</v>
      </c>
      <c r="ANS47">
        <v>0</v>
      </c>
      <c r="ANT47">
        <v>0</v>
      </c>
      <c r="ANU47">
        <v>2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1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65</v>
      </c>
      <c r="AVO47">
        <v>15</v>
      </c>
      <c r="AVP47">
        <v>20</v>
      </c>
      <c r="AVQ47">
        <v>10</v>
      </c>
      <c r="AVR47">
        <v>0</v>
      </c>
      <c r="AVS47">
        <v>0</v>
      </c>
      <c r="AVT47">
        <v>5</v>
      </c>
      <c r="AVU47">
        <v>2</v>
      </c>
      <c r="AVV47">
        <v>7</v>
      </c>
      <c r="AVW47">
        <v>1</v>
      </c>
      <c r="AVX47">
        <v>345</v>
      </c>
      <c r="AVY47">
        <v>404</v>
      </c>
      <c r="AVZ47">
        <v>1</v>
      </c>
      <c r="AWA47">
        <v>46</v>
      </c>
      <c r="AWB47">
        <v>2</v>
      </c>
      <c r="AWC47" t="s">
        <v>1680</v>
      </c>
      <c r="AWD47">
        <v>10</v>
      </c>
      <c r="AWE47" t="s">
        <v>1680</v>
      </c>
      <c r="AWF47">
        <v>11</v>
      </c>
      <c r="AWG47">
        <v>75</v>
      </c>
      <c r="AWH47">
        <v>7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0.75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10</v>
      </c>
      <c r="AXA47">
        <v>5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1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3</v>
      </c>
      <c r="AYU47">
        <v>3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2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1</v>
      </c>
      <c r="BBE47">
        <v>0</v>
      </c>
      <c r="BBF47">
        <v>2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3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6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1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1</v>
      </c>
      <c r="BDQ47">
        <v>0</v>
      </c>
      <c r="BDR47">
        <v>0</v>
      </c>
      <c r="BDS47">
        <v>0</v>
      </c>
      <c r="BDT47">
        <v>5</v>
      </c>
      <c r="BDU47">
        <v>0</v>
      </c>
      <c r="BDV47">
        <v>0</v>
      </c>
      <c r="BDW47">
        <v>1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2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</row>
    <row r="48" spans="1:1675" x14ac:dyDescent="0.2">
      <c r="A48">
        <v>4</v>
      </c>
      <c r="B48">
        <v>6</v>
      </c>
      <c r="C48">
        <f t="shared" si="6"/>
        <v>79</v>
      </c>
      <c r="D48">
        <f t="shared" si="14"/>
        <v>963</v>
      </c>
      <c r="E48">
        <f t="shared" si="15"/>
        <v>47</v>
      </c>
      <c r="F48">
        <f t="shared" si="8"/>
        <v>11</v>
      </c>
      <c r="G48">
        <f t="shared" si="13"/>
        <v>3</v>
      </c>
      <c r="H48" cm="1">
        <f t="array" ref="H48">_xlfn.IFS(P48=0, 1, P48=7, 2, P48=5, 3)</f>
        <v>1</v>
      </c>
      <c r="I48" cm="1">
        <f t="array" ref="I48">_xlfn.IFS(H48=1, IF(AC48=0, P48, PO48), H48=2, IF(AC48=0, P48, AFN48), H48=3, IF(AC48=0, P48, AVM48))</f>
        <v>1</v>
      </c>
      <c r="J48" cm="1">
        <f t="array" ref="J48">_xlfn.IFS(I48=0, 1, I48=1, 0, I48=2, 7, I48=7, 2, I48=5, 6, I48=6, 5)</f>
        <v>0</v>
      </c>
      <c r="K48" t="str" cm="1">
        <f t="array" ref="K48">_xlfn.IFNA(_xlfn.IFS(P48&lt;&gt;P49, 1, A48&lt;&gt;A49, IF(P49=P48, 1)), "")</f>
        <v/>
      </c>
      <c r="L48" t="str">
        <f t="shared" si="7"/>
        <v/>
      </c>
      <c r="M48" t="s">
        <v>1743</v>
      </c>
      <c r="N48" t="s">
        <v>1723</v>
      </c>
      <c r="P48">
        <v>0</v>
      </c>
      <c r="Q48">
        <v>36</v>
      </c>
      <c r="R48">
        <v>12</v>
      </c>
      <c r="S48">
        <v>13</v>
      </c>
      <c r="T48">
        <v>5</v>
      </c>
      <c r="U48">
        <v>0</v>
      </c>
      <c r="V48">
        <v>0</v>
      </c>
      <c r="W48">
        <v>7</v>
      </c>
      <c r="X48">
        <v>0</v>
      </c>
      <c r="Y48">
        <v>4</v>
      </c>
      <c r="Z48">
        <v>1</v>
      </c>
      <c r="AA48">
        <v>334</v>
      </c>
      <c r="AB48">
        <v>373</v>
      </c>
      <c r="AC48">
        <v>1</v>
      </c>
      <c r="AD48">
        <v>36</v>
      </c>
      <c r="AE48">
        <v>4</v>
      </c>
      <c r="AF48" t="s">
        <v>1671</v>
      </c>
      <c r="AG48">
        <v>7</v>
      </c>
      <c r="AH48" t="s">
        <v>1680</v>
      </c>
      <c r="AI48">
        <v>7</v>
      </c>
      <c r="AJ48">
        <v>13</v>
      </c>
      <c r="AK48">
        <v>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0.92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</v>
      </c>
      <c r="BD48">
        <v>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2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4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6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1</v>
      </c>
      <c r="HT48">
        <v>0</v>
      </c>
      <c r="HU48">
        <v>0</v>
      </c>
      <c r="HV48">
        <v>0</v>
      </c>
      <c r="HW48">
        <v>2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4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1</v>
      </c>
      <c r="PP48">
        <v>69</v>
      </c>
      <c r="PQ48">
        <v>14</v>
      </c>
      <c r="PR48">
        <v>14</v>
      </c>
      <c r="PS48">
        <v>3</v>
      </c>
      <c r="PT48">
        <v>0</v>
      </c>
      <c r="PU48">
        <v>0</v>
      </c>
      <c r="PV48">
        <v>13</v>
      </c>
      <c r="PW48">
        <v>0</v>
      </c>
      <c r="PX48">
        <v>1</v>
      </c>
      <c r="PY48">
        <v>0</v>
      </c>
      <c r="PZ48">
        <v>331</v>
      </c>
      <c r="QA48">
        <v>373</v>
      </c>
      <c r="QB48">
        <v>0</v>
      </c>
      <c r="QC48">
        <v>33</v>
      </c>
      <c r="QD48">
        <v>2</v>
      </c>
      <c r="QE48" t="s">
        <v>1678</v>
      </c>
      <c r="QF48">
        <v>7</v>
      </c>
      <c r="QG48" t="s">
        <v>1678</v>
      </c>
      <c r="QH48">
        <v>9</v>
      </c>
      <c r="QI48">
        <v>18</v>
      </c>
      <c r="QJ48">
        <v>3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1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3</v>
      </c>
      <c r="RC48">
        <v>1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1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3</v>
      </c>
      <c r="VG48">
        <v>0</v>
      </c>
      <c r="VH48">
        <v>2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6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1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1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1</v>
      </c>
      <c r="XS48">
        <v>0</v>
      </c>
      <c r="XT48">
        <v>0</v>
      </c>
      <c r="XU48">
        <v>0</v>
      </c>
      <c r="XV48">
        <v>7</v>
      </c>
      <c r="XW48">
        <v>0</v>
      </c>
      <c r="XX48">
        <v>0</v>
      </c>
      <c r="XY48">
        <v>3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1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1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1</v>
      </c>
      <c r="AFO48">
        <v>81</v>
      </c>
      <c r="AFP48">
        <v>12</v>
      </c>
      <c r="AFQ48">
        <v>12</v>
      </c>
      <c r="AFR48">
        <v>7</v>
      </c>
      <c r="AFS48">
        <v>0</v>
      </c>
      <c r="AFT48">
        <v>0</v>
      </c>
      <c r="AFU48">
        <v>10</v>
      </c>
      <c r="AFV48">
        <v>0</v>
      </c>
      <c r="AFW48">
        <v>1</v>
      </c>
      <c r="AFX48">
        <v>1</v>
      </c>
      <c r="AFY48">
        <v>341</v>
      </c>
      <c r="AFZ48">
        <v>373</v>
      </c>
      <c r="AGA48">
        <v>0</v>
      </c>
      <c r="AGB48">
        <v>36</v>
      </c>
      <c r="AGC48">
        <v>8</v>
      </c>
      <c r="AGD48" t="s">
        <v>1678</v>
      </c>
      <c r="AGE48">
        <v>7</v>
      </c>
      <c r="AGF48" t="s">
        <v>1676</v>
      </c>
      <c r="AGG48">
        <v>7</v>
      </c>
      <c r="AGH48">
        <v>115</v>
      </c>
      <c r="AGI48">
        <v>6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1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6</v>
      </c>
      <c r="AHB48">
        <v>3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3</v>
      </c>
      <c r="AIV48">
        <v>2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1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2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2</v>
      </c>
      <c r="ALA48">
        <v>0</v>
      </c>
      <c r="ALB48">
        <v>0</v>
      </c>
      <c r="ALC48">
        <v>0</v>
      </c>
      <c r="ALD48">
        <v>0</v>
      </c>
      <c r="ALE48">
        <v>3</v>
      </c>
      <c r="ALF48">
        <v>0</v>
      </c>
      <c r="ALG48">
        <v>2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1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1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1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1</v>
      </c>
      <c r="ANR48">
        <v>0</v>
      </c>
      <c r="ANS48">
        <v>0</v>
      </c>
      <c r="ANT48">
        <v>0</v>
      </c>
      <c r="ANU48">
        <v>1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6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1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49</v>
      </c>
      <c r="AVO48">
        <v>14</v>
      </c>
      <c r="AVP48">
        <v>14</v>
      </c>
      <c r="AVQ48">
        <v>6</v>
      </c>
      <c r="AVR48">
        <v>1</v>
      </c>
      <c r="AVS48">
        <v>0</v>
      </c>
      <c r="AVT48">
        <v>10</v>
      </c>
      <c r="AVU48">
        <v>2</v>
      </c>
      <c r="AVV48">
        <v>2</v>
      </c>
      <c r="AVW48">
        <v>0</v>
      </c>
      <c r="AVX48">
        <v>328</v>
      </c>
      <c r="AVY48">
        <v>373</v>
      </c>
      <c r="AVZ48">
        <v>1</v>
      </c>
      <c r="AWA48">
        <v>37</v>
      </c>
      <c r="AWB48">
        <v>3</v>
      </c>
      <c r="AWC48" t="s">
        <v>1680</v>
      </c>
      <c r="AWD48">
        <v>9</v>
      </c>
      <c r="AWE48" t="s">
        <v>1671</v>
      </c>
      <c r="AWF48">
        <v>7</v>
      </c>
      <c r="AWG48">
        <v>13</v>
      </c>
      <c r="AWH48">
        <v>3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1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5</v>
      </c>
      <c r="AXA48">
        <v>3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2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1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3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2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1</v>
      </c>
      <c r="BBE48">
        <v>0</v>
      </c>
      <c r="BBF48">
        <v>1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6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1</v>
      </c>
      <c r="BCN48">
        <v>0</v>
      </c>
      <c r="BCO48">
        <v>0</v>
      </c>
      <c r="BCP48">
        <v>0</v>
      </c>
      <c r="BCQ48">
        <v>0</v>
      </c>
      <c r="BCR48">
        <v>2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2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1</v>
      </c>
      <c r="BDQ48">
        <v>0</v>
      </c>
      <c r="BDR48">
        <v>0</v>
      </c>
      <c r="BDS48">
        <v>0</v>
      </c>
      <c r="BDT48">
        <v>6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1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</row>
    <row r="49" spans="1:1675" x14ac:dyDescent="0.2">
      <c r="A49">
        <v>4</v>
      </c>
      <c r="B49">
        <v>6</v>
      </c>
      <c r="C49">
        <f t="shared" si="6"/>
        <v>79</v>
      </c>
      <c r="D49">
        <f t="shared" si="14"/>
        <v>964</v>
      </c>
      <c r="E49">
        <f t="shared" si="15"/>
        <v>48</v>
      </c>
      <c r="F49">
        <f t="shared" si="8"/>
        <v>12</v>
      </c>
      <c r="G49">
        <f t="shared" si="13"/>
        <v>4</v>
      </c>
      <c r="H49" cm="1">
        <f t="array" ref="H49">_xlfn.IFS(P49=0, 1, P49=7, 2, P49=5, 3)</f>
        <v>1</v>
      </c>
      <c r="I49" cm="1">
        <f t="array" ref="I49">_xlfn.IFS(H49=1, IF(AC49=0, P49, PO49), H49=2, IF(AC49=0, P49, AFN49), H49=3, IF(AC49=0, P49, AVM49))</f>
        <v>0</v>
      </c>
      <c r="J49" cm="1">
        <f t="array" ref="J49">_xlfn.IFS(I49=0, 1, I49=1, 0, I49=2, 7, I49=7, 2, I49=5, 6, I49=6, 5)</f>
        <v>1</v>
      </c>
      <c r="K49" t="str" cm="1">
        <f t="array" ref="K49">_xlfn.IFNA(_xlfn.IFS(P49&lt;&gt;P50, 1, A49&lt;&gt;A50, IF(P50=P49, 1)), "")</f>
        <v/>
      </c>
      <c r="L49" t="str">
        <f t="shared" si="7"/>
        <v/>
      </c>
      <c r="M49" t="s">
        <v>1742</v>
      </c>
      <c r="N49" t="s">
        <v>1724</v>
      </c>
      <c r="P49">
        <v>0</v>
      </c>
      <c r="Q49">
        <v>86</v>
      </c>
      <c r="R49">
        <v>9</v>
      </c>
      <c r="S49">
        <v>3</v>
      </c>
      <c r="T49">
        <v>2</v>
      </c>
      <c r="U49">
        <v>0</v>
      </c>
      <c r="V49">
        <v>0</v>
      </c>
      <c r="W49">
        <v>7</v>
      </c>
      <c r="X49">
        <v>0</v>
      </c>
      <c r="Y49">
        <v>0</v>
      </c>
      <c r="Z49">
        <v>2</v>
      </c>
      <c r="AA49">
        <v>335</v>
      </c>
      <c r="AB49">
        <v>344</v>
      </c>
      <c r="AC49">
        <v>0</v>
      </c>
      <c r="AD49">
        <v>21</v>
      </c>
      <c r="AE49">
        <v>4</v>
      </c>
      <c r="AF49" t="s">
        <v>1680</v>
      </c>
      <c r="AG49">
        <v>5</v>
      </c>
      <c r="AH49" t="s">
        <v>1671</v>
      </c>
      <c r="AI49">
        <v>2</v>
      </c>
      <c r="AJ49">
        <v>17</v>
      </c>
      <c r="AK49">
        <v>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2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3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1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</v>
      </c>
      <c r="IV49">
        <v>0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1</v>
      </c>
      <c r="PP49">
        <v>21</v>
      </c>
      <c r="PQ49">
        <v>2</v>
      </c>
      <c r="PR49">
        <v>9</v>
      </c>
      <c r="PS49">
        <v>1</v>
      </c>
      <c r="PT49">
        <v>0</v>
      </c>
      <c r="PU49">
        <v>2</v>
      </c>
      <c r="PV49">
        <v>1</v>
      </c>
      <c r="PW49">
        <v>0</v>
      </c>
      <c r="PX49">
        <v>1</v>
      </c>
      <c r="PY49">
        <v>0</v>
      </c>
      <c r="PZ49">
        <v>311</v>
      </c>
      <c r="QA49">
        <v>344</v>
      </c>
      <c r="QB49">
        <v>1</v>
      </c>
      <c r="QC49">
        <v>7</v>
      </c>
      <c r="QD49">
        <v>2</v>
      </c>
      <c r="QE49" t="s">
        <v>1676</v>
      </c>
      <c r="QF49">
        <v>1</v>
      </c>
      <c r="QG49" t="s">
        <v>1676</v>
      </c>
      <c r="QH49">
        <v>5</v>
      </c>
      <c r="QI49">
        <v>30</v>
      </c>
      <c r="QJ49">
        <v>1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0.22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1</v>
      </c>
      <c r="RC49">
        <v>1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1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1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1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1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1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1</v>
      </c>
      <c r="AFO49">
        <v>21</v>
      </c>
      <c r="AFP49">
        <v>4</v>
      </c>
      <c r="AFQ49">
        <v>7</v>
      </c>
      <c r="AFR49">
        <v>1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4</v>
      </c>
      <c r="AFY49">
        <v>324</v>
      </c>
      <c r="AFZ49">
        <v>344</v>
      </c>
      <c r="AGA49">
        <v>1</v>
      </c>
      <c r="AGB49">
        <v>6</v>
      </c>
      <c r="AGC49">
        <v>4</v>
      </c>
      <c r="AGD49" t="s">
        <v>1676</v>
      </c>
      <c r="AGE49">
        <v>2</v>
      </c>
      <c r="AGF49" t="s">
        <v>1676</v>
      </c>
      <c r="AGG49">
        <v>4</v>
      </c>
      <c r="AGH49">
        <v>37</v>
      </c>
      <c r="AGI49">
        <v>4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0.56999999999999995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1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1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4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64</v>
      </c>
      <c r="AVO49">
        <v>5</v>
      </c>
      <c r="AVP49">
        <v>3</v>
      </c>
      <c r="AVQ49">
        <v>4</v>
      </c>
      <c r="AVR49">
        <v>0</v>
      </c>
      <c r="AVS49">
        <v>0</v>
      </c>
      <c r="AVT49">
        <v>2</v>
      </c>
      <c r="AVU49">
        <v>1</v>
      </c>
      <c r="AVV49">
        <v>2</v>
      </c>
      <c r="AVW49">
        <v>0</v>
      </c>
      <c r="AVX49">
        <v>335</v>
      </c>
      <c r="AVY49">
        <v>344</v>
      </c>
      <c r="AVZ49">
        <v>0</v>
      </c>
      <c r="AWA49">
        <v>15</v>
      </c>
      <c r="AWB49">
        <v>3</v>
      </c>
      <c r="AWC49" t="s">
        <v>1671</v>
      </c>
      <c r="AWD49">
        <v>3</v>
      </c>
      <c r="AWE49" t="s">
        <v>1671</v>
      </c>
      <c r="AWF49">
        <v>2</v>
      </c>
      <c r="AWG49">
        <v>30</v>
      </c>
      <c r="AWH49">
        <v>2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1.67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4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1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1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1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1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2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1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1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2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1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</row>
    <row r="50" spans="1:1675" x14ac:dyDescent="0.2">
      <c r="A50">
        <v>4</v>
      </c>
      <c r="B50">
        <v>6</v>
      </c>
      <c r="C50">
        <f t="shared" si="6"/>
        <v>79</v>
      </c>
      <c r="D50">
        <f t="shared" si="14"/>
        <v>965</v>
      </c>
      <c r="E50">
        <f t="shared" si="15"/>
        <v>49</v>
      </c>
      <c r="F50">
        <f t="shared" si="8"/>
        <v>13</v>
      </c>
      <c r="G50">
        <f t="shared" si="13"/>
        <v>5</v>
      </c>
      <c r="H50" cm="1">
        <f t="array" ref="H50">_xlfn.IFS(P50=0, 1, P50=7, 2, P50=5, 3)</f>
        <v>1</v>
      </c>
      <c r="I50" cm="1">
        <f t="array" ref="I50">_xlfn.IFS(H50=1, IF(AC50=0, P50, PO50), H50=2, IF(AC50=0, P50, AFN50), H50=3, IF(AC50=0, P50, AVM50))</f>
        <v>1</v>
      </c>
      <c r="J50" cm="1">
        <f t="array" ref="J50">_xlfn.IFS(I50=0, 1, I50=1, 0, I50=2, 7, I50=7, 2, I50=5, 6, I50=6, 5)</f>
        <v>0</v>
      </c>
      <c r="K50" cm="1">
        <f t="array" ref="K50">_xlfn.IFNA(_xlfn.IFS(P50&lt;&gt;P51, 1, A50&lt;&gt;A51, IF(P51=P50, 1)), "")</f>
        <v>1</v>
      </c>
      <c r="L50">
        <f t="shared" si="7"/>
        <v>1</v>
      </c>
      <c r="M50" t="s">
        <v>1749</v>
      </c>
      <c r="N50" t="s">
        <v>1725</v>
      </c>
      <c r="P50">
        <v>0</v>
      </c>
      <c r="Q50">
        <v>33</v>
      </c>
      <c r="R50">
        <v>16</v>
      </c>
      <c r="S50">
        <v>25</v>
      </c>
      <c r="T50">
        <v>4</v>
      </c>
      <c r="U50">
        <v>0</v>
      </c>
      <c r="V50">
        <v>0</v>
      </c>
      <c r="W50">
        <v>14</v>
      </c>
      <c r="X50">
        <v>1</v>
      </c>
      <c r="Y50">
        <v>1</v>
      </c>
      <c r="Z50">
        <v>0</v>
      </c>
      <c r="AA50">
        <v>365</v>
      </c>
      <c r="AB50">
        <v>440</v>
      </c>
      <c r="AC50">
        <v>1</v>
      </c>
      <c r="AD50">
        <v>41</v>
      </c>
      <c r="AE50">
        <v>3</v>
      </c>
      <c r="AF50" t="s">
        <v>1680</v>
      </c>
      <c r="AG50">
        <v>8</v>
      </c>
      <c r="AH50" t="s">
        <v>1680</v>
      </c>
      <c r="AI50">
        <v>15</v>
      </c>
      <c r="AJ50">
        <v>13</v>
      </c>
      <c r="AK50">
        <v>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0.64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4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3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5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6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</v>
      </c>
      <c r="HT50">
        <v>0</v>
      </c>
      <c r="HU50">
        <v>0</v>
      </c>
      <c r="HV50">
        <v>0</v>
      </c>
      <c r="HW50">
        <v>8</v>
      </c>
      <c r="HX50">
        <v>0</v>
      </c>
      <c r="HY50">
        <v>0</v>
      </c>
      <c r="HZ50">
        <v>3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2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1</v>
      </c>
      <c r="PP50">
        <v>81</v>
      </c>
      <c r="PQ50">
        <v>24</v>
      </c>
      <c r="PR50">
        <v>18</v>
      </c>
      <c r="PS50">
        <v>5</v>
      </c>
      <c r="PT50">
        <v>0</v>
      </c>
      <c r="PU50">
        <v>0</v>
      </c>
      <c r="PV50">
        <v>18</v>
      </c>
      <c r="PW50">
        <v>1</v>
      </c>
      <c r="PX50">
        <v>3</v>
      </c>
      <c r="PY50">
        <v>2</v>
      </c>
      <c r="PZ50">
        <v>387</v>
      </c>
      <c r="QA50">
        <v>440</v>
      </c>
      <c r="QB50">
        <v>0</v>
      </c>
      <c r="QC50">
        <v>62</v>
      </c>
      <c r="QD50">
        <v>8</v>
      </c>
      <c r="QE50" t="s">
        <v>1676</v>
      </c>
      <c r="QF50">
        <v>15</v>
      </c>
      <c r="QG50" t="s">
        <v>1678</v>
      </c>
      <c r="QH50">
        <v>10</v>
      </c>
      <c r="QI50">
        <v>13</v>
      </c>
      <c r="QJ50">
        <v>6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1.33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5</v>
      </c>
      <c r="RC50">
        <v>4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2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2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3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1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2</v>
      </c>
      <c r="VB50">
        <v>0</v>
      </c>
      <c r="VC50">
        <v>0</v>
      </c>
      <c r="VD50">
        <v>0</v>
      </c>
      <c r="VE50">
        <v>0</v>
      </c>
      <c r="VF50">
        <v>7</v>
      </c>
      <c r="VG50">
        <v>0</v>
      </c>
      <c r="VH50">
        <v>4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13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1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1</v>
      </c>
      <c r="WP50">
        <v>0</v>
      </c>
      <c r="WQ50">
        <v>0</v>
      </c>
      <c r="WR50">
        <v>0</v>
      </c>
      <c r="WS50">
        <v>0</v>
      </c>
      <c r="WT50">
        <v>3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3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2</v>
      </c>
      <c r="XS50">
        <v>0</v>
      </c>
      <c r="XT50">
        <v>0</v>
      </c>
      <c r="XU50">
        <v>0</v>
      </c>
      <c r="XV50">
        <v>4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5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1</v>
      </c>
      <c r="AFO50">
        <v>69</v>
      </c>
      <c r="AFP50">
        <v>23</v>
      </c>
      <c r="AFQ50">
        <v>17</v>
      </c>
      <c r="AFR50">
        <v>11</v>
      </c>
      <c r="AFS50">
        <v>0</v>
      </c>
      <c r="AFT50">
        <v>0</v>
      </c>
      <c r="AFU50">
        <v>17</v>
      </c>
      <c r="AFV50">
        <v>2</v>
      </c>
      <c r="AFW50">
        <v>2</v>
      </c>
      <c r="AFX50">
        <v>2</v>
      </c>
      <c r="AFY50">
        <v>389</v>
      </c>
      <c r="AFZ50">
        <v>440</v>
      </c>
      <c r="AGA50">
        <v>0</v>
      </c>
      <c r="AGB50">
        <v>64</v>
      </c>
      <c r="AGC50">
        <v>3</v>
      </c>
      <c r="AGD50" t="s">
        <v>1678</v>
      </c>
      <c r="AGE50">
        <v>13</v>
      </c>
      <c r="AGF50" t="s">
        <v>1678</v>
      </c>
      <c r="AGG50">
        <v>9</v>
      </c>
      <c r="AGH50">
        <v>13</v>
      </c>
      <c r="AGI50">
        <v>5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1.35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11</v>
      </c>
      <c r="AHB50">
        <v>7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1</v>
      </c>
      <c r="AIV50">
        <v>1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4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1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2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3</v>
      </c>
      <c r="ALA50">
        <v>0</v>
      </c>
      <c r="ALB50">
        <v>0</v>
      </c>
      <c r="ALC50">
        <v>0</v>
      </c>
      <c r="ALD50">
        <v>0</v>
      </c>
      <c r="ALE50">
        <v>2</v>
      </c>
      <c r="ALF50">
        <v>0</v>
      </c>
      <c r="ALG50">
        <v>4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9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3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2</v>
      </c>
      <c r="ANR50">
        <v>0</v>
      </c>
      <c r="ANS50">
        <v>0</v>
      </c>
      <c r="ANT50">
        <v>0</v>
      </c>
      <c r="ANU50">
        <v>6</v>
      </c>
      <c r="ANV50">
        <v>0</v>
      </c>
      <c r="ANW50">
        <v>0</v>
      </c>
      <c r="ANX50">
        <v>1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3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1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1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1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71</v>
      </c>
      <c r="AVO50">
        <v>19</v>
      </c>
      <c r="AVP50">
        <v>22</v>
      </c>
      <c r="AVQ50">
        <v>6</v>
      </c>
      <c r="AVR50">
        <v>0</v>
      </c>
      <c r="AVS50">
        <v>0</v>
      </c>
      <c r="AVT50">
        <v>10</v>
      </c>
      <c r="AVU50">
        <v>3</v>
      </c>
      <c r="AVV50">
        <v>5</v>
      </c>
      <c r="AVW50">
        <v>1</v>
      </c>
      <c r="AVX50">
        <v>375</v>
      </c>
      <c r="AVY50">
        <v>440</v>
      </c>
      <c r="AVZ50">
        <v>1</v>
      </c>
      <c r="AWA50">
        <v>49</v>
      </c>
      <c r="AWB50">
        <v>2</v>
      </c>
      <c r="AWC50" t="s">
        <v>1680</v>
      </c>
      <c r="AWD50">
        <v>10</v>
      </c>
      <c r="AWE50" t="s">
        <v>1671</v>
      </c>
      <c r="AWF50">
        <v>13</v>
      </c>
      <c r="AWG50">
        <v>13</v>
      </c>
      <c r="AWH50">
        <v>7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0.86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6</v>
      </c>
      <c r="AXA50">
        <v>3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1</v>
      </c>
      <c r="AYU50">
        <v>2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2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1</v>
      </c>
      <c r="AZN50">
        <v>1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1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3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1</v>
      </c>
      <c r="BBE50">
        <v>0</v>
      </c>
      <c r="BBF50">
        <v>3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9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2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2</v>
      </c>
      <c r="BDQ50">
        <v>0</v>
      </c>
      <c r="BDR50">
        <v>0</v>
      </c>
      <c r="BDS50">
        <v>0</v>
      </c>
      <c r="BDT50">
        <v>8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3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1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</row>
    <row r="51" spans="1:1675" x14ac:dyDescent="0.2">
      <c r="A51">
        <v>5</v>
      </c>
      <c r="B51">
        <v>7</v>
      </c>
      <c r="C51">
        <f t="shared" ref="C51:C62" si="16">A51+75</f>
        <v>80</v>
      </c>
      <c r="D51">
        <f t="shared" si="14"/>
        <v>966</v>
      </c>
      <c r="E51">
        <f t="shared" si="15"/>
        <v>50</v>
      </c>
      <c r="F51">
        <f t="shared" ref="F51:F62" si="17">IF(A51=A50,F50+1,1)</f>
        <v>1</v>
      </c>
      <c r="G51">
        <f t="shared" ref="G51:G62" si="18">IF(K50&lt;&gt;1,G50+1,1)</f>
        <v>1</v>
      </c>
      <c r="H51" cm="1">
        <f t="array" ref="H51">_xlfn.IFS(P51=0, 1, P51=7, 2, P51=5, 3)</f>
        <v>3</v>
      </c>
      <c r="I51" cm="1">
        <f t="array" ref="I51">_xlfn.IFS(H51=1, IF(AC51=0, P51, PO51), H51=2, IF(AC51=0, P51, AFN51), H51=3, IF(AC51=0, P51, AVM51))</f>
        <v>5</v>
      </c>
      <c r="J51" cm="1">
        <f t="array" ref="J51">_xlfn.IFS(I51=0, 1, I51=1, 0, I51=2, 7, I51=7, 2, I51=5, 6, I51=6, 5)</f>
        <v>6</v>
      </c>
      <c r="K51" t="str" cm="1">
        <f t="array" ref="K51">_xlfn.IFNA(_xlfn.IFS(P51&lt;&gt;P52, 1, A51&lt;&gt;A52, IF(P52=P51, 1)), "")</f>
        <v/>
      </c>
      <c r="L51" t="str">
        <f t="shared" si="7"/>
        <v/>
      </c>
      <c r="M51" t="s">
        <v>1763</v>
      </c>
      <c r="N51" s="4" t="s">
        <v>1750</v>
      </c>
      <c r="O51" s="4"/>
      <c r="P51" s="4">
        <v>5</v>
      </c>
      <c r="Q51" s="4">
        <v>79</v>
      </c>
      <c r="R51" s="4">
        <v>19</v>
      </c>
      <c r="S51" s="4">
        <v>16</v>
      </c>
      <c r="T51" s="4">
        <v>4</v>
      </c>
      <c r="U51" s="4">
        <v>0</v>
      </c>
      <c r="V51" s="4">
        <v>1</v>
      </c>
      <c r="W51" s="4">
        <v>12</v>
      </c>
      <c r="X51" s="4">
        <v>4</v>
      </c>
      <c r="Y51" s="4">
        <v>2</v>
      </c>
      <c r="Z51" s="4">
        <v>1</v>
      </c>
      <c r="AA51" s="4">
        <v>376</v>
      </c>
      <c r="AB51" s="4">
        <v>426</v>
      </c>
      <c r="AC51" s="4">
        <v>0</v>
      </c>
      <c r="AD51" s="4">
        <v>52</v>
      </c>
      <c r="AE51" s="4">
        <v>4</v>
      </c>
      <c r="AF51" s="4" t="s">
        <v>1680</v>
      </c>
      <c r="AG51" s="4">
        <v>11</v>
      </c>
      <c r="AH51" s="4" t="s">
        <v>1678</v>
      </c>
      <c r="AI51" s="4">
        <v>8</v>
      </c>
      <c r="AJ51" s="4">
        <v>13</v>
      </c>
      <c r="AK51" s="4">
        <v>4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1.19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4</v>
      </c>
      <c r="BD51" s="4">
        <v>6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2</v>
      </c>
      <c r="CX51" s="4">
        <v>2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1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1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2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3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1</v>
      </c>
      <c r="FH51" s="4">
        <v>0</v>
      </c>
      <c r="FI51" s="4">
        <v>5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5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1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1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1</v>
      </c>
      <c r="HI51" s="4">
        <v>0</v>
      </c>
      <c r="HJ51" s="4">
        <v>3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1</v>
      </c>
      <c r="HT51" s="4">
        <v>0</v>
      </c>
      <c r="HU51" s="4">
        <v>0</v>
      </c>
      <c r="HV51" s="4">
        <v>0</v>
      </c>
      <c r="HW51" s="4">
        <v>7</v>
      </c>
      <c r="HX51" s="4">
        <v>0</v>
      </c>
      <c r="HY51" s="4">
        <v>0</v>
      </c>
      <c r="HZ51" s="4">
        <v>3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2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0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1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0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0</v>
      </c>
      <c r="OX51" s="4">
        <v>0</v>
      </c>
      <c r="OY51" s="4">
        <v>0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6</v>
      </c>
      <c r="PP51" s="4">
        <v>57</v>
      </c>
      <c r="PQ51" s="4">
        <v>17</v>
      </c>
      <c r="PR51" s="4">
        <v>15</v>
      </c>
      <c r="PS51" s="4">
        <v>8</v>
      </c>
      <c r="PT51" s="4">
        <v>0</v>
      </c>
      <c r="PU51" s="4">
        <v>0</v>
      </c>
      <c r="PV51" s="4">
        <v>11</v>
      </c>
      <c r="PW51" s="4">
        <v>1</v>
      </c>
      <c r="PX51" s="4">
        <v>5</v>
      </c>
      <c r="PY51" s="4">
        <v>0</v>
      </c>
      <c r="PZ51" s="4">
        <v>382</v>
      </c>
      <c r="QA51" s="4">
        <v>426</v>
      </c>
      <c r="QB51" s="4">
        <v>1</v>
      </c>
      <c r="QC51" s="4">
        <v>42</v>
      </c>
      <c r="QD51" s="4">
        <v>3</v>
      </c>
      <c r="QE51" s="4" t="s">
        <v>1671</v>
      </c>
      <c r="QF51" s="4">
        <v>10</v>
      </c>
      <c r="QG51" s="4" t="s">
        <v>1676</v>
      </c>
      <c r="QH51" s="4">
        <v>11</v>
      </c>
      <c r="QI51" s="4">
        <v>13</v>
      </c>
      <c r="QJ51" s="4">
        <v>4</v>
      </c>
      <c r="QK51" s="4">
        <v>0</v>
      </c>
      <c r="QL51" s="4">
        <v>0</v>
      </c>
      <c r="QM51" s="4">
        <v>0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1.1299999999999999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6</v>
      </c>
      <c r="RC51" s="4">
        <v>6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1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3</v>
      </c>
      <c r="SW51" s="4">
        <v>1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1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1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1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1</v>
      </c>
      <c r="VB51" s="4">
        <v>0</v>
      </c>
      <c r="VC51" s="4">
        <v>0</v>
      </c>
      <c r="VD51" s="4">
        <v>0</v>
      </c>
      <c r="VE51" s="4">
        <v>0</v>
      </c>
      <c r="VF51" s="4">
        <v>1</v>
      </c>
      <c r="VG51" s="4">
        <v>0</v>
      </c>
      <c r="VH51" s="4">
        <v>3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0</v>
      </c>
      <c r="VS51" s="4">
        <v>6</v>
      </c>
      <c r="VT51" s="4">
        <v>0</v>
      </c>
      <c r="VU51" s="4">
        <v>0</v>
      </c>
      <c r="VV51" s="4">
        <v>0</v>
      </c>
      <c r="VW51" s="4">
        <v>0</v>
      </c>
      <c r="VX51" s="4">
        <v>0</v>
      </c>
      <c r="VY51" s="4">
        <v>0</v>
      </c>
      <c r="VZ51" s="4">
        <v>0</v>
      </c>
      <c r="WA51" s="4">
        <v>0</v>
      </c>
      <c r="WB51" s="4">
        <v>0</v>
      </c>
      <c r="WC51" s="4">
        <v>0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1</v>
      </c>
      <c r="WN51" s="4">
        <v>0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1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1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3</v>
      </c>
      <c r="XW51" s="4">
        <v>0</v>
      </c>
      <c r="XX51" s="4">
        <v>0</v>
      </c>
      <c r="XY51" s="4">
        <v>0</v>
      </c>
      <c r="XZ51" s="4">
        <v>0</v>
      </c>
      <c r="YA51" s="4">
        <v>0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1</v>
      </c>
      <c r="YU51" s="4">
        <v>0</v>
      </c>
      <c r="YV51" s="4">
        <v>0</v>
      </c>
      <c r="YW51" s="4">
        <v>0</v>
      </c>
      <c r="YX51" s="4">
        <v>0</v>
      </c>
      <c r="YY51" s="4">
        <v>0</v>
      </c>
      <c r="YZ51" s="4">
        <v>0</v>
      </c>
      <c r="ZA51" s="4">
        <v>0</v>
      </c>
      <c r="ZB51" s="4">
        <v>0</v>
      </c>
      <c r="ZC51" s="4">
        <v>0</v>
      </c>
      <c r="ZD51" s="4">
        <v>0</v>
      </c>
      <c r="ZE51" s="4">
        <v>4</v>
      </c>
      <c r="ZF51" s="4">
        <v>0</v>
      </c>
      <c r="ZG51" s="4">
        <v>0</v>
      </c>
      <c r="ZH51" s="4">
        <v>0</v>
      </c>
      <c r="ZI51" s="4">
        <v>0</v>
      </c>
      <c r="ZJ51" s="4">
        <v>0</v>
      </c>
      <c r="ZK51" s="4">
        <v>0</v>
      </c>
      <c r="ZL51" s="4">
        <v>0</v>
      </c>
      <c r="ZM51" s="4">
        <v>0</v>
      </c>
      <c r="ZN51" s="4">
        <v>0</v>
      </c>
      <c r="ZO51" s="4">
        <v>0</v>
      </c>
      <c r="ZP51" s="4">
        <v>0</v>
      </c>
      <c r="ZQ51" s="4">
        <v>0</v>
      </c>
      <c r="ZR51" s="4">
        <v>0</v>
      </c>
      <c r="ZS51" s="4">
        <v>0</v>
      </c>
      <c r="ZT51" s="4">
        <v>0</v>
      </c>
      <c r="ZU51" s="4">
        <v>0</v>
      </c>
      <c r="ZV51" s="4">
        <v>0</v>
      </c>
      <c r="ZW51" s="4">
        <v>0</v>
      </c>
      <c r="ZX51" s="4">
        <v>0</v>
      </c>
      <c r="ZY51" s="4">
        <v>0</v>
      </c>
      <c r="ZZ51" s="4">
        <v>0</v>
      </c>
      <c r="AAA51" s="4">
        <v>0</v>
      </c>
      <c r="AAB51" s="4">
        <v>0</v>
      </c>
      <c r="AAC51" s="4">
        <v>0</v>
      </c>
      <c r="AAD51" s="4">
        <v>0</v>
      </c>
      <c r="AAE51" s="4">
        <v>0</v>
      </c>
      <c r="AAF51" s="4">
        <v>0</v>
      </c>
      <c r="AAG51" s="4">
        <v>0</v>
      </c>
      <c r="AAH51" s="4">
        <v>0</v>
      </c>
      <c r="AAI51" s="4">
        <v>0</v>
      </c>
      <c r="AAJ51" s="4">
        <v>0</v>
      </c>
      <c r="AAK51" s="4">
        <v>0</v>
      </c>
      <c r="AAL51" s="4">
        <v>0</v>
      </c>
      <c r="AAM51" s="4">
        <v>0</v>
      </c>
      <c r="AAN51" s="4">
        <v>0</v>
      </c>
      <c r="AAO51" s="4">
        <v>0</v>
      </c>
      <c r="AAP51" s="4">
        <v>0</v>
      </c>
      <c r="AAQ51" s="4">
        <v>0</v>
      </c>
      <c r="AAR51" s="4">
        <v>0</v>
      </c>
      <c r="AAS51" s="4">
        <v>0</v>
      </c>
      <c r="AAT51" s="4">
        <v>0</v>
      </c>
      <c r="AAU51" s="4">
        <v>0</v>
      </c>
      <c r="AAV51" s="4">
        <v>0</v>
      </c>
      <c r="AAW51" s="4">
        <v>0</v>
      </c>
      <c r="AAX51" s="4">
        <v>0</v>
      </c>
      <c r="AAY51" s="4">
        <v>0</v>
      </c>
      <c r="AAZ51" s="4">
        <v>0</v>
      </c>
      <c r="ABA51" s="4">
        <v>0</v>
      </c>
      <c r="ABB51" s="4">
        <v>0</v>
      </c>
      <c r="ABC51" s="4">
        <v>0</v>
      </c>
      <c r="ABD51" s="4">
        <v>0</v>
      </c>
      <c r="ABE51" s="4">
        <v>0</v>
      </c>
      <c r="ABF51" s="4">
        <v>0</v>
      </c>
      <c r="ABG51" s="4">
        <v>0</v>
      </c>
      <c r="ABH51" s="4">
        <v>0</v>
      </c>
      <c r="ABI51" s="4">
        <v>0</v>
      </c>
      <c r="ABJ51" s="4">
        <v>0</v>
      </c>
      <c r="ABK51" s="4">
        <v>0</v>
      </c>
      <c r="ABL51" s="4">
        <v>0</v>
      </c>
      <c r="ABM51" s="4">
        <v>0</v>
      </c>
      <c r="ABN51" s="4">
        <v>0</v>
      </c>
      <c r="ABO51" s="4">
        <v>0</v>
      </c>
      <c r="ABP51" s="4">
        <v>0</v>
      </c>
      <c r="ABQ51" s="4">
        <v>0</v>
      </c>
      <c r="ABR51" s="4">
        <v>0</v>
      </c>
      <c r="ABS51" s="4">
        <v>0</v>
      </c>
      <c r="ABT51" s="4">
        <v>0</v>
      </c>
      <c r="ABU51" s="4">
        <v>0</v>
      </c>
      <c r="ABV51" s="4">
        <v>0</v>
      </c>
      <c r="ABW51" s="4">
        <v>0</v>
      </c>
      <c r="ABX51" s="4">
        <v>0</v>
      </c>
      <c r="ABY51" s="4">
        <v>0</v>
      </c>
      <c r="ABZ51" s="4">
        <v>0</v>
      </c>
      <c r="ACA51" s="4">
        <v>0</v>
      </c>
      <c r="ACB51" s="4">
        <v>0</v>
      </c>
      <c r="ACC51" s="4">
        <v>0</v>
      </c>
      <c r="ACD51" s="4">
        <v>0</v>
      </c>
      <c r="ACE51" s="4">
        <v>0</v>
      </c>
      <c r="ACF51" s="4">
        <v>0</v>
      </c>
      <c r="ACG51" s="4">
        <v>0</v>
      </c>
      <c r="ACH51" s="4">
        <v>0</v>
      </c>
      <c r="ACI51" s="4">
        <v>0</v>
      </c>
      <c r="ACJ51" s="4">
        <v>0</v>
      </c>
      <c r="ACK51" s="4">
        <v>0</v>
      </c>
      <c r="ACL51" s="4">
        <v>0</v>
      </c>
      <c r="ACM51" s="4">
        <v>0</v>
      </c>
      <c r="ACN51" s="4">
        <v>0</v>
      </c>
      <c r="ACO51" s="4">
        <v>0</v>
      </c>
      <c r="ACP51" s="4">
        <v>0</v>
      </c>
      <c r="ACQ51" s="4">
        <v>0</v>
      </c>
      <c r="ACR51" s="4">
        <v>0</v>
      </c>
      <c r="ACS51" s="4">
        <v>0</v>
      </c>
      <c r="ACT51" s="4">
        <v>0</v>
      </c>
      <c r="ACU51" s="4">
        <v>0</v>
      </c>
      <c r="ACV51" s="4">
        <v>0</v>
      </c>
      <c r="ACW51" s="4">
        <v>0</v>
      </c>
      <c r="ACX51" s="4">
        <v>0</v>
      </c>
      <c r="ACY51" s="4">
        <v>0</v>
      </c>
      <c r="ACZ51" s="4">
        <v>0</v>
      </c>
      <c r="ADA51" s="4">
        <v>0</v>
      </c>
      <c r="ADB51" s="4">
        <v>0</v>
      </c>
      <c r="ADC51" s="4">
        <v>0</v>
      </c>
      <c r="ADD51" s="4">
        <v>0</v>
      </c>
      <c r="ADE51" s="4">
        <v>0</v>
      </c>
      <c r="ADF51" s="4">
        <v>0</v>
      </c>
      <c r="ADG51" s="4">
        <v>0</v>
      </c>
      <c r="ADH51" s="4">
        <v>0</v>
      </c>
      <c r="ADI51" s="4">
        <v>0</v>
      </c>
      <c r="ADJ51" s="4">
        <v>0</v>
      </c>
      <c r="ADK51" s="4">
        <v>0</v>
      </c>
      <c r="ADL51" s="4">
        <v>0</v>
      </c>
      <c r="ADM51" s="4">
        <v>0</v>
      </c>
      <c r="ADN51" s="4">
        <v>0</v>
      </c>
      <c r="ADO51" s="4">
        <v>0</v>
      </c>
      <c r="ADP51" s="4">
        <v>0</v>
      </c>
      <c r="ADQ51" s="4">
        <v>0</v>
      </c>
      <c r="ADR51" s="4">
        <v>0</v>
      </c>
      <c r="ADS51" s="4">
        <v>0</v>
      </c>
      <c r="ADT51" s="4">
        <v>0</v>
      </c>
      <c r="ADU51" s="4">
        <v>0</v>
      </c>
      <c r="ADV51" s="4">
        <v>0</v>
      </c>
      <c r="ADW51" s="4">
        <v>0</v>
      </c>
      <c r="ADX51" s="4">
        <v>0</v>
      </c>
      <c r="ADY51" s="4">
        <v>0</v>
      </c>
      <c r="ADZ51" s="4">
        <v>0</v>
      </c>
      <c r="AEA51" s="4">
        <v>0</v>
      </c>
      <c r="AEB51" s="4">
        <v>0</v>
      </c>
      <c r="AEC51" s="4">
        <v>0</v>
      </c>
      <c r="AED51" s="4">
        <v>0</v>
      </c>
      <c r="AEE51" s="4">
        <v>0</v>
      </c>
      <c r="AEF51" s="4">
        <v>0</v>
      </c>
      <c r="AEG51" s="4">
        <v>0</v>
      </c>
      <c r="AEH51" s="4">
        <v>0</v>
      </c>
      <c r="AEI51" s="4">
        <v>0</v>
      </c>
      <c r="AEJ51" s="4">
        <v>0</v>
      </c>
      <c r="AEK51" s="4">
        <v>0</v>
      </c>
      <c r="AEL51" s="4">
        <v>0</v>
      </c>
      <c r="AEM51" s="4">
        <v>0</v>
      </c>
      <c r="AEN51" s="4">
        <v>0</v>
      </c>
      <c r="AEO51" s="4">
        <v>0</v>
      </c>
      <c r="AEP51" s="4">
        <v>0</v>
      </c>
      <c r="AEQ51" s="4">
        <v>0</v>
      </c>
      <c r="AER51" s="4">
        <v>0</v>
      </c>
      <c r="AES51" s="4">
        <v>0</v>
      </c>
      <c r="AET51" s="4">
        <v>0</v>
      </c>
      <c r="AEU51" s="4">
        <v>0</v>
      </c>
      <c r="AEV51" s="4">
        <v>0</v>
      </c>
      <c r="AEW51" s="4">
        <v>0</v>
      </c>
      <c r="AEX51" s="4">
        <v>0</v>
      </c>
      <c r="AEY51" s="4">
        <v>0</v>
      </c>
      <c r="AEZ51" s="4">
        <v>0</v>
      </c>
      <c r="AFA51" s="4">
        <v>0</v>
      </c>
      <c r="AFB51" s="4">
        <v>0</v>
      </c>
      <c r="AFC51" s="4">
        <v>0</v>
      </c>
      <c r="AFD51" s="4">
        <v>0</v>
      </c>
      <c r="AFE51" s="4">
        <v>0</v>
      </c>
      <c r="AFF51" s="4">
        <v>0</v>
      </c>
      <c r="AFG51" s="4">
        <v>0</v>
      </c>
      <c r="AFH51" s="4">
        <v>0</v>
      </c>
      <c r="AFI51" s="4">
        <v>0</v>
      </c>
      <c r="AFJ51" s="4">
        <v>0</v>
      </c>
      <c r="AFK51" s="4">
        <v>0</v>
      </c>
      <c r="AFL51" s="4">
        <v>0</v>
      </c>
      <c r="AFM51" s="4">
        <v>0</v>
      </c>
      <c r="AFN51" s="4">
        <v>5</v>
      </c>
      <c r="AFO51" s="4">
        <v>71</v>
      </c>
      <c r="AFP51" s="4">
        <v>14</v>
      </c>
      <c r="AFQ51" s="4">
        <v>17</v>
      </c>
      <c r="AFR51" s="4">
        <v>6</v>
      </c>
      <c r="AFS51" s="4">
        <v>0</v>
      </c>
      <c r="AFT51" s="4">
        <v>0</v>
      </c>
      <c r="AFU51" s="4">
        <v>9</v>
      </c>
      <c r="AFV51" s="4">
        <v>1</v>
      </c>
      <c r="AFW51" s="4">
        <v>3</v>
      </c>
      <c r="AFX51" s="4">
        <v>1</v>
      </c>
      <c r="AFY51" s="4">
        <v>375</v>
      </c>
      <c r="AFZ51" s="4">
        <v>426</v>
      </c>
      <c r="AGA51" s="4">
        <v>0</v>
      </c>
      <c r="AGB51" s="4">
        <v>35</v>
      </c>
      <c r="AGC51" s="4">
        <v>4</v>
      </c>
      <c r="AGD51" s="4" t="s">
        <v>1678</v>
      </c>
      <c r="AGE51" s="4">
        <v>11</v>
      </c>
      <c r="AGF51" s="4" t="s">
        <v>1680</v>
      </c>
      <c r="AGG51" s="4">
        <v>10</v>
      </c>
      <c r="AGH51" s="4">
        <v>13</v>
      </c>
      <c r="AGI51" s="4">
        <v>4</v>
      </c>
      <c r="AGJ51" s="4">
        <v>0</v>
      </c>
      <c r="AGK51" s="4">
        <v>0</v>
      </c>
      <c r="AGL51" s="4">
        <v>0</v>
      </c>
      <c r="AGM51" s="4">
        <v>0</v>
      </c>
      <c r="AGN51" s="4">
        <v>0</v>
      </c>
      <c r="AGO51" s="4">
        <v>0</v>
      </c>
      <c r="AGP51" s="4">
        <v>0</v>
      </c>
      <c r="AGQ51" s="4">
        <v>0</v>
      </c>
      <c r="AGR51" s="4">
        <v>0.82</v>
      </c>
      <c r="AGS51" s="4">
        <v>0</v>
      </c>
      <c r="AGT51" s="4">
        <v>0</v>
      </c>
      <c r="AGU51" s="4">
        <v>0</v>
      </c>
      <c r="AGV51" s="4">
        <v>0</v>
      </c>
      <c r="AGW51" s="4">
        <v>0</v>
      </c>
      <c r="AGX51" s="4">
        <v>0</v>
      </c>
      <c r="AGY51" s="4">
        <v>0</v>
      </c>
      <c r="AGZ51" s="4">
        <v>0</v>
      </c>
      <c r="AHA51" s="4">
        <v>5</v>
      </c>
      <c r="AHB51" s="4">
        <v>4</v>
      </c>
      <c r="AHC51" s="4">
        <v>0</v>
      </c>
      <c r="AHD51" s="4">
        <v>0</v>
      </c>
      <c r="AHE51" s="4">
        <v>0</v>
      </c>
      <c r="AHF51" s="4">
        <v>0</v>
      </c>
      <c r="AHG51" s="4">
        <v>0</v>
      </c>
      <c r="AHH51" s="4">
        <v>0</v>
      </c>
      <c r="AHI51" s="4">
        <v>0</v>
      </c>
      <c r="AHJ51" s="4">
        <v>0</v>
      </c>
      <c r="AHK51" s="4">
        <v>0</v>
      </c>
      <c r="AHL51" s="4">
        <v>0</v>
      </c>
      <c r="AHM51" s="4">
        <v>0</v>
      </c>
      <c r="AHN51" s="4">
        <v>0</v>
      </c>
      <c r="AHO51" s="4">
        <v>0</v>
      </c>
      <c r="AHP51" s="4">
        <v>0</v>
      </c>
      <c r="AHQ51" s="4">
        <v>0</v>
      </c>
      <c r="AHR51" s="4">
        <v>0</v>
      </c>
      <c r="AHS51" s="4">
        <v>0</v>
      </c>
      <c r="AHT51" s="4">
        <v>0</v>
      </c>
      <c r="AHU51" s="4">
        <v>0</v>
      </c>
      <c r="AHV51" s="4">
        <v>1</v>
      </c>
      <c r="AHW51" s="4">
        <v>0</v>
      </c>
      <c r="AHX51" s="4">
        <v>0</v>
      </c>
      <c r="AHY51" s="4">
        <v>0</v>
      </c>
      <c r="AHZ51" s="4">
        <v>0</v>
      </c>
      <c r="AIA51" s="4">
        <v>0</v>
      </c>
      <c r="AIB51" s="4">
        <v>0</v>
      </c>
      <c r="AIC51" s="4">
        <v>0</v>
      </c>
      <c r="AID51" s="4">
        <v>0</v>
      </c>
      <c r="AIE51" s="4">
        <v>0</v>
      </c>
      <c r="AIF51" s="4">
        <v>0</v>
      </c>
      <c r="AIG51" s="4">
        <v>0</v>
      </c>
      <c r="AIH51" s="4">
        <v>0</v>
      </c>
      <c r="AII51" s="4">
        <v>0</v>
      </c>
      <c r="AIJ51" s="4">
        <v>0</v>
      </c>
      <c r="AIK51" s="4">
        <v>0</v>
      </c>
      <c r="AIL51" s="4">
        <v>0</v>
      </c>
      <c r="AIM51" s="4">
        <v>0</v>
      </c>
      <c r="AIN51" s="4">
        <v>0</v>
      </c>
      <c r="AIO51" s="4">
        <v>0</v>
      </c>
      <c r="AIP51" s="4">
        <v>0</v>
      </c>
      <c r="AIQ51" s="4">
        <v>0</v>
      </c>
      <c r="AIR51" s="4">
        <v>0</v>
      </c>
      <c r="AIS51" s="4">
        <v>0</v>
      </c>
      <c r="AIT51" s="4">
        <v>0</v>
      </c>
      <c r="AIU51" s="4">
        <v>0</v>
      </c>
      <c r="AIV51" s="4">
        <v>2</v>
      </c>
      <c r="AIW51" s="4">
        <v>0</v>
      </c>
      <c r="AIX51" s="4">
        <v>0</v>
      </c>
      <c r="AIY51" s="4">
        <v>0</v>
      </c>
      <c r="AIZ51" s="4">
        <v>0</v>
      </c>
      <c r="AJA51" s="4">
        <v>0</v>
      </c>
      <c r="AJB51" s="4">
        <v>0</v>
      </c>
      <c r="AJC51" s="4">
        <v>1</v>
      </c>
      <c r="AJD51" s="4">
        <v>0</v>
      </c>
      <c r="AJE51" s="4">
        <v>0</v>
      </c>
      <c r="AJF51" s="4">
        <v>0</v>
      </c>
      <c r="AJG51" s="4">
        <v>0</v>
      </c>
      <c r="AJH51" s="4">
        <v>0</v>
      </c>
      <c r="AJI51" s="4">
        <v>0</v>
      </c>
      <c r="AJJ51" s="4">
        <v>0</v>
      </c>
      <c r="AJK51" s="4">
        <v>0</v>
      </c>
      <c r="AJL51" s="4">
        <v>0</v>
      </c>
      <c r="AJM51" s="4">
        <v>0</v>
      </c>
      <c r="AJN51" s="4">
        <v>0</v>
      </c>
      <c r="AJO51" s="4">
        <v>0</v>
      </c>
      <c r="AJP51" s="4">
        <v>0</v>
      </c>
      <c r="AJQ51" s="4">
        <v>0</v>
      </c>
      <c r="AJR51" s="4">
        <v>0</v>
      </c>
      <c r="AJS51" s="4">
        <v>0</v>
      </c>
      <c r="AJT51" s="4">
        <v>0</v>
      </c>
      <c r="AJU51" s="4">
        <v>0</v>
      </c>
      <c r="AJV51" s="4">
        <v>0</v>
      </c>
      <c r="AJW51" s="4">
        <v>0</v>
      </c>
      <c r="AJX51" s="4">
        <v>0</v>
      </c>
      <c r="AJY51" s="4">
        <v>0</v>
      </c>
      <c r="AJZ51" s="4">
        <v>0</v>
      </c>
      <c r="AKA51" s="4">
        <v>0</v>
      </c>
      <c r="AKB51" s="4">
        <v>0</v>
      </c>
      <c r="AKC51" s="4">
        <v>0</v>
      </c>
      <c r="AKD51" s="4">
        <v>0</v>
      </c>
      <c r="AKE51" s="4">
        <v>0</v>
      </c>
      <c r="AKF51" s="4">
        <v>0</v>
      </c>
      <c r="AKG51" s="4">
        <v>0</v>
      </c>
      <c r="AKH51" s="4">
        <v>0</v>
      </c>
      <c r="AKI51" s="4">
        <v>0</v>
      </c>
      <c r="AKJ51" s="4">
        <v>0</v>
      </c>
      <c r="AKK51" s="4">
        <v>0</v>
      </c>
      <c r="AKL51" s="4">
        <v>0</v>
      </c>
      <c r="AKM51" s="4">
        <v>0</v>
      </c>
      <c r="AKN51" s="4">
        <v>0</v>
      </c>
      <c r="AKO51" s="4">
        <v>0</v>
      </c>
      <c r="AKP51" s="4">
        <v>0</v>
      </c>
      <c r="AKQ51" s="4">
        <v>0</v>
      </c>
      <c r="AKR51" s="4">
        <v>0</v>
      </c>
      <c r="AKS51" s="4">
        <v>1</v>
      </c>
      <c r="AKT51" s="4">
        <v>0</v>
      </c>
      <c r="AKU51" s="4">
        <v>0</v>
      </c>
      <c r="AKV51" s="4">
        <v>0</v>
      </c>
      <c r="AKW51" s="4">
        <v>0</v>
      </c>
      <c r="AKX51" s="4">
        <v>0</v>
      </c>
      <c r="AKY51" s="4">
        <v>0</v>
      </c>
      <c r="AKZ51" s="4">
        <v>1</v>
      </c>
      <c r="ALA51" s="4">
        <v>0</v>
      </c>
      <c r="ALB51" s="4">
        <v>0</v>
      </c>
      <c r="ALC51" s="4">
        <v>0</v>
      </c>
      <c r="ALD51" s="4">
        <v>0</v>
      </c>
      <c r="ALE51" s="4">
        <v>1</v>
      </c>
      <c r="ALF51" s="4">
        <v>0</v>
      </c>
      <c r="ALG51" s="4">
        <v>2</v>
      </c>
      <c r="ALH51" s="4">
        <v>0</v>
      </c>
      <c r="ALI51" s="4">
        <v>0</v>
      </c>
      <c r="ALJ51" s="4">
        <v>0</v>
      </c>
      <c r="ALK51" s="4">
        <v>0</v>
      </c>
      <c r="ALL51" s="4">
        <v>0</v>
      </c>
      <c r="ALM51" s="4">
        <v>0</v>
      </c>
      <c r="ALN51" s="4">
        <v>0</v>
      </c>
      <c r="ALO51" s="4">
        <v>0</v>
      </c>
      <c r="ALP51" s="4">
        <v>0</v>
      </c>
      <c r="ALQ51" s="4">
        <v>0</v>
      </c>
      <c r="ALR51" s="4">
        <v>6</v>
      </c>
      <c r="ALS51" s="4">
        <v>0</v>
      </c>
      <c r="ALT51" s="4">
        <v>0</v>
      </c>
      <c r="ALU51" s="4">
        <v>0</v>
      </c>
      <c r="ALV51" s="4">
        <v>0</v>
      </c>
      <c r="ALW51" s="4">
        <v>0</v>
      </c>
      <c r="ALX51" s="4">
        <v>0</v>
      </c>
      <c r="ALY51" s="4">
        <v>0</v>
      </c>
      <c r="ALZ51" s="4">
        <v>0</v>
      </c>
      <c r="AMA51" s="4">
        <v>0</v>
      </c>
      <c r="AMB51" s="4">
        <v>0</v>
      </c>
      <c r="AMC51" s="4">
        <v>0</v>
      </c>
      <c r="AMD51" s="4">
        <v>0</v>
      </c>
      <c r="AME51" s="4">
        <v>0</v>
      </c>
      <c r="AMF51" s="4">
        <v>0</v>
      </c>
      <c r="AMG51" s="4">
        <v>0</v>
      </c>
      <c r="AMH51" s="4">
        <v>0</v>
      </c>
      <c r="AMI51" s="4">
        <v>0</v>
      </c>
      <c r="AMJ51" s="4">
        <v>0</v>
      </c>
      <c r="AMK51" s="4">
        <v>0</v>
      </c>
      <c r="AML51" s="4">
        <v>0</v>
      </c>
      <c r="AMM51" s="4">
        <v>0</v>
      </c>
      <c r="AMN51" s="4">
        <v>0</v>
      </c>
      <c r="AMO51" s="4">
        <v>0</v>
      </c>
      <c r="AMP51" s="4">
        <v>0</v>
      </c>
      <c r="AMQ51" s="4">
        <v>0</v>
      </c>
      <c r="AMR51" s="4">
        <v>0</v>
      </c>
      <c r="AMS51" s="4">
        <v>1</v>
      </c>
      <c r="AMT51" s="4">
        <v>0</v>
      </c>
      <c r="AMU51" s="4">
        <v>0</v>
      </c>
      <c r="AMV51" s="4">
        <v>0</v>
      </c>
      <c r="AMW51" s="4">
        <v>0</v>
      </c>
      <c r="AMX51" s="4">
        <v>0</v>
      </c>
      <c r="AMY51" s="4">
        <v>0</v>
      </c>
      <c r="AMZ51" s="4">
        <v>0</v>
      </c>
      <c r="ANA51" s="4">
        <v>0</v>
      </c>
      <c r="ANB51" s="4">
        <v>0</v>
      </c>
      <c r="ANC51" s="4">
        <v>0</v>
      </c>
      <c r="AND51" s="4">
        <v>0</v>
      </c>
      <c r="ANE51" s="4">
        <v>0</v>
      </c>
      <c r="ANF51" s="4">
        <v>0</v>
      </c>
      <c r="ANG51" s="4">
        <v>0</v>
      </c>
      <c r="ANH51" s="4">
        <v>0</v>
      </c>
      <c r="ANI51" s="4">
        <v>0</v>
      </c>
      <c r="ANJ51" s="4">
        <v>0</v>
      </c>
      <c r="ANK51" s="4">
        <v>0</v>
      </c>
      <c r="ANL51" s="4">
        <v>0</v>
      </c>
      <c r="ANM51" s="4">
        <v>0</v>
      </c>
      <c r="ANN51" s="4">
        <v>0</v>
      </c>
      <c r="ANO51" s="4">
        <v>0</v>
      </c>
      <c r="ANP51" s="4">
        <v>0</v>
      </c>
      <c r="ANQ51" s="4">
        <v>0</v>
      </c>
      <c r="ANR51" s="4">
        <v>0</v>
      </c>
      <c r="ANS51" s="4">
        <v>0</v>
      </c>
      <c r="ANT51" s="4">
        <v>0</v>
      </c>
      <c r="ANU51" s="4">
        <v>5</v>
      </c>
      <c r="ANV51" s="4">
        <v>0</v>
      </c>
      <c r="ANW51" s="4">
        <v>0</v>
      </c>
      <c r="ANX51" s="4">
        <v>0</v>
      </c>
      <c r="ANY51" s="4">
        <v>0</v>
      </c>
      <c r="ANZ51" s="4">
        <v>0</v>
      </c>
      <c r="AOA51" s="4">
        <v>0</v>
      </c>
      <c r="AOB51" s="4">
        <v>0</v>
      </c>
      <c r="AOC51" s="4">
        <v>0</v>
      </c>
      <c r="AOD51" s="4">
        <v>0</v>
      </c>
      <c r="AOE51" s="4">
        <v>0</v>
      </c>
      <c r="AOF51" s="4">
        <v>0</v>
      </c>
      <c r="AOG51" s="4">
        <v>3</v>
      </c>
      <c r="AOH51" s="4">
        <v>0</v>
      </c>
      <c r="AOI51" s="4">
        <v>0</v>
      </c>
      <c r="AOJ51" s="4">
        <v>0</v>
      </c>
      <c r="AOK51" s="4">
        <v>0</v>
      </c>
      <c r="AOL51" s="4">
        <v>0</v>
      </c>
      <c r="AOM51" s="4">
        <v>0</v>
      </c>
      <c r="AON51" s="4">
        <v>0</v>
      </c>
      <c r="AOO51" s="4">
        <v>0</v>
      </c>
      <c r="AOP51" s="4">
        <v>0</v>
      </c>
      <c r="AOQ51" s="4">
        <v>0</v>
      </c>
      <c r="AOR51" s="4">
        <v>0</v>
      </c>
      <c r="AOS51" s="4">
        <v>0</v>
      </c>
      <c r="AOT51" s="4">
        <v>0</v>
      </c>
      <c r="AOU51" s="4">
        <v>0</v>
      </c>
      <c r="AOV51" s="4">
        <v>0</v>
      </c>
      <c r="AOW51" s="4">
        <v>0</v>
      </c>
      <c r="AOX51" s="4">
        <v>0</v>
      </c>
      <c r="AOY51" s="4">
        <v>0</v>
      </c>
      <c r="AOZ51" s="4">
        <v>0</v>
      </c>
      <c r="APA51" s="4">
        <v>0</v>
      </c>
      <c r="APB51" s="4">
        <v>0</v>
      </c>
      <c r="APC51" s="4">
        <v>0</v>
      </c>
      <c r="APD51" s="4">
        <v>2</v>
      </c>
      <c r="APE51" s="4">
        <v>0</v>
      </c>
      <c r="APF51" s="4">
        <v>0</v>
      </c>
      <c r="APG51" s="4">
        <v>0</v>
      </c>
      <c r="APH51" s="4">
        <v>0</v>
      </c>
      <c r="API51" s="4">
        <v>0</v>
      </c>
      <c r="APJ51" s="4">
        <v>0</v>
      </c>
      <c r="APK51" s="4">
        <v>0</v>
      </c>
      <c r="APL51" s="4">
        <v>0</v>
      </c>
      <c r="APM51" s="4">
        <v>0</v>
      </c>
      <c r="APN51" s="4">
        <v>0</v>
      </c>
      <c r="APO51" s="4">
        <v>0</v>
      </c>
      <c r="APP51" s="4">
        <v>0</v>
      </c>
      <c r="APQ51" s="4">
        <v>0</v>
      </c>
      <c r="APR51" s="4">
        <v>0</v>
      </c>
      <c r="APS51" s="4">
        <v>0</v>
      </c>
      <c r="APT51" s="4">
        <v>0</v>
      </c>
      <c r="APU51" s="4">
        <v>0</v>
      </c>
      <c r="APV51" s="4">
        <v>0</v>
      </c>
      <c r="APW51" s="4">
        <v>0</v>
      </c>
      <c r="APX51" s="4">
        <v>0</v>
      </c>
      <c r="APY51" s="4">
        <v>0</v>
      </c>
      <c r="APZ51" s="4">
        <v>0</v>
      </c>
      <c r="AQA51" s="4">
        <v>0</v>
      </c>
      <c r="AQB51" s="4">
        <v>0</v>
      </c>
      <c r="AQC51" s="4">
        <v>0</v>
      </c>
      <c r="AQD51" s="4">
        <v>0</v>
      </c>
      <c r="AQE51" s="4">
        <v>0</v>
      </c>
      <c r="AQF51" s="4">
        <v>0</v>
      </c>
      <c r="AQG51" s="4">
        <v>0</v>
      </c>
      <c r="AQH51" s="4">
        <v>0</v>
      </c>
      <c r="AQI51" s="4">
        <v>0</v>
      </c>
      <c r="AQJ51" s="4">
        <v>0</v>
      </c>
      <c r="AQK51" s="4">
        <v>0</v>
      </c>
      <c r="AQL51" s="4">
        <v>0</v>
      </c>
      <c r="AQM51" s="4">
        <v>0</v>
      </c>
      <c r="AQN51" s="4">
        <v>0</v>
      </c>
      <c r="AQO51" s="4">
        <v>0</v>
      </c>
      <c r="AQP51" s="4">
        <v>0</v>
      </c>
      <c r="AQQ51" s="4">
        <v>0</v>
      </c>
      <c r="AQR51" s="4">
        <v>0</v>
      </c>
      <c r="AQS51" s="4">
        <v>0</v>
      </c>
      <c r="AQT51" s="4">
        <v>0</v>
      </c>
      <c r="AQU51" s="4">
        <v>0</v>
      </c>
      <c r="AQV51" s="4">
        <v>0</v>
      </c>
      <c r="AQW51" s="4">
        <v>0</v>
      </c>
      <c r="AQX51" s="4">
        <v>0</v>
      </c>
      <c r="AQY51" s="4">
        <v>0</v>
      </c>
      <c r="AQZ51" s="4">
        <v>0</v>
      </c>
      <c r="ARA51" s="4">
        <v>0</v>
      </c>
      <c r="ARB51" s="4">
        <v>0</v>
      </c>
      <c r="ARC51" s="4">
        <v>0</v>
      </c>
      <c r="ARD51" s="4">
        <v>0</v>
      </c>
      <c r="ARE51" s="4">
        <v>0</v>
      </c>
      <c r="ARF51" s="4">
        <v>0</v>
      </c>
      <c r="ARG51" s="4">
        <v>0</v>
      </c>
      <c r="ARH51" s="4">
        <v>0</v>
      </c>
      <c r="ARI51" s="4">
        <v>0</v>
      </c>
      <c r="ARJ51" s="4">
        <v>0</v>
      </c>
      <c r="ARK51" s="4">
        <v>0</v>
      </c>
      <c r="ARL51" s="4">
        <v>0</v>
      </c>
      <c r="ARM51" s="4">
        <v>0</v>
      </c>
      <c r="ARN51" s="4">
        <v>0</v>
      </c>
      <c r="ARO51" s="4">
        <v>0</v>
      </c>
      <c r="ARP51" s="4">
        <v>0</v>
      </c>
      <c r="ARQ51" s="4">
        <v>0</v>
      </c>
      <c r="ARR51" s="4">
        <v>0</v>
      </c>
      <c r="ARS51" s="4">
        <v>0</v>
      </c>
      <c r="ART51" s="4">
        <v>0</v>
      </c>
      <c r="ARU51" s="4">
        <v>0</v>
      </c>
      <c r="ARV51" s="4">
        <v>0</v>
      </c>
      <c r="ARW51" s="4">
        <v>0</v>
      </c>
      <c r="ARX51" s="4">
        <v>0</v>
      </c>
      <c r="ARY51" s="4">
        <v>0</v>
      </c>
      <c r="ARZ51" s="4">
        <v>0</v>
      </c>
      <c r="ASA51" s="4">
        <v>0</v>
      </c>
      <c r="ASB51" s="4">
        <v>0</v>
      </c>
      <c r="ASC51" s="4">
        <v>0</v>
      </c>
      <c r="ASD51" s="4">
        <v>0</v>
      </c>
      <c r="ASE51" s="4">
        <v>0</v>
      </c>
      <c r="ASF51" s="4">
        <v>0</v>
      </c>
      <c r="ASG51" s="4">
        <v>0</v>
      </c>
      <c r="ASH51" s="4">
        <v>0</v>
      </c>
      <c r="ASI51" s="4">
        <v>0</v>
      </c>
      <c r="ASJ51" s="4">
        <v>0</v>
      </c>
      <c r="ASK51" s="4">
        <v>0</v>
      </c>
      <c r="ASL51" s="4">
        <v>0</v>
      </c>
      <c r="ASM51" s="4">
        <v>0</v>
      </c>
      <c r="ASN51" s="4">
        <v>0</v>
      </c>
      <c r="ASO51" s="4">
        <v>0</v>
      </c>
      <c r="ASP51" s="4">
        <v>0</v>
      </c>
      <c r="ASQ51" s="4">
        <v>0</v>
      </c>
      <c r="ASR51" s="4">
        <v>0</v>
      </c>
      <c r="ASS51" s="4">
        <v>0</v>
      </c>
      <c r="AST51" s="4">
        <v>0</v>
      </c>
      <c r="ASU51" s="4">
        <v>0</v>
      </c>
      <c r="ASV51" s="4">
        <v>0</v>
      </c>
      <c r="ASW51" s="4">
        <v>0</v>
      </c>
      <c r="ASX51" s="4">
        <v>0</v>
      </c>
      <c r="ASY51" s="4">
        <v>0</v>
      </c>
      <c r="ASZ51" s="4">
        <v>0</v>
      </c>
      <c r="ATA51" s="4">
        <v>0</v>
      </c>
      <c r="ATB51" s="4">
        <v>0</v>
      </c>
      <c r="ATC51" s="4">
        <v>0</v>
      </c>
      <c r="ATD51" s="4">
        <v>0</v>
      </c>
      <c r="ATE51" s="4">
        <v>0</v>
      </c>
      <c r="ATF51" s="4">
        <v>0</v>
      </c>
      <c r="ATG51" s="4">
        <v>0</v>
      </c>
      <c r="ATH51" s="4">
        <v>0</v>
      </c>
      <c r="ATI51" s="4">
        <v>0</v>
      </c>
      <c r="ATJ51" s="4">
        <v>0</v>
      </c>
      <c r="ATK51" s="4">
        <v>0</v>
      </c>
      <c r="ATL51" s="4">
        <v>0</v>
      </c>
      <c r="ATM51" s="4">
        <v>0</v>
      </c>
      <c r="ATN51" s="4">
        <v>0</v>
      </c>
      <c r="ATO51" s="4">
        <v>0</v>
      </c>
      <c r="ATP51" s="4">
        <v>0</v>
      </c>
      <c r="ATQ51" s="4">
        <v>0</v>
      </c>
      <c r="ATR51" s="4">
        <v>0</v>
      </c>
      <c r="ATS51" s="4">
        <v>0</v>
      </c>
      <c r="ATT51" s="4">
        <v>0</v>
      </c>
      <c r="ATU51" s="4">
        <v>0</v>
      </c>
      <c r="ATV51" s="4">
        <v>0</v>
      </c>
      <c r="ATW51" s="4">
        <v>0</v>
      </c>
      <c r="ATX51" s="4">
        <v>0</v>
      </c>
      <c r="ATY51" s="4">
        <v>0</v>
      </c>
      <c r="ATZ51" s="4">
        <v>0</v>
      </c>
      <c r="AUA51" s="4">
        <v>0</v>
      </c>
      <c r="AUB51" s="4">
        <v>0</v>
      </c>
      <c r="AUC51" s="4">
        <v>0</v>
      </c>
      <c r="AUD51" s="4">
        <v>0</v>
      </c>
      <c r="AUE51" s="4">
        <v>0</v>
      </c>
      <c r="AUF51" s="4">
        <v>0</v>
      </c>
      <c r="AUG51" s="4">
        <v>0</v>
      </c>
      <c r="AUH51" s="4">
        <v>0</v>
      </c>
      <c r="AUI51" s="4">
        <v>0</v>
      </c>
      <c r="AUJ51" s="4">
        <v>0</v>
      </c>
      <c r="AUK51" s="4">
        <v>0</v>
      </c>
      <c r="AUL51" s="4">
        <v>0</v>
      </c>
      <c r="AUM51" s="4">
        <v>0</v>
      </c>
      <c r="AUN51" s="4">
        <v>0</v>
      </c>
      <c r="AUO51" s="4">
        <v>0</v>
      </c>
      <c r="AUP51" s="4">
        <v>0</v>
      </c>
      <c r="AUQ51" s="4">
        <v>0</v>
      </c>
      <c r="AUR51" s="4">
        <v>0</v>
      </c>
      <c r="AUS51" s="4">
        <v>0</v>
      </c>
      <c r="AUT51" s="4">
        <v>0</v>
      </c>
      <c r="AUU51" s="4">
        <v>0</v>
      </c>
      <c r="AUV51" s="4">
        <v>0</v>
      </c>
      <c r="AUW51" s="4">
        <v>0</v>
      </c>
      <c r="AUX51" s="4">
        <v>0</v>
      </c>
      <c r="AUY51" s="4">
        <v>0</v>
      </c>
      <c r="AUZ51" s="4">
        <v>0</v>
      </c>
      <c r="AVA51" s="4">
        <v>0</v>
      </c>
      <c r="AVB51" s="4">
        <v>0</v>
      </c>
      <c r="AVC51" s="4">
        <v>0</v>
      </c>
      <c r="AVD51" s="4">
        <v>0</v>
      </c>
      <c r="AVE51" s="4">
        <v>0</v>
      </c>
      <c r="AVF51" s="4">
        <v>0</v>
      </c>
      <c r="AVG51" s="4">
        <v>0</v>
      </c>
      <c r="AVH51" s="4">
        <v>0</v>
      </c>
      <c r="AVI51" s="4">
        <v>0</v>
      </c>
      <c r="AVJ51" s="4">
        <v>0</v>
      </c>
      <c r="AVK51" s="4">
        <v>0</v>
      </c>
      <c r="AVL51" s="4">
        <v>0</v>
      </c>
      <c r="AVM51" s="4">
        <v>6</v>
      </c>
      <c r="AVN51" s="4">
        <v>44</v>
      </c>
      <c r="AVO51" s="4">
        <v>15</v>
      </c>
      <c r="AVP51" s="4">
        <v>19</v>
      </c>
      <c r="AVQ51" s="4">
        <v>4</v>
      </c>
      <c r="AVR51" s="4">
        <v>1</v>
      </c>
      <c r="AVS51" s="4">
        <v>0</v>
      </c>
      <c r="AVT51" s="4">
        <v>10</v>
      </c>
      <c r="AVU51" s="4">
        <v>2</v>
      </c>
      <c r="AVV51" s="4">
        <v>2</v>
      </c>
      <c r="AVW51" s="4">
        <v>1</v>
      </c>
      <c r="AVX51" s="4">
        <v>366</v>
      </c>
      <c r="AVY51" s="4">
        <v>426</v>
      </c>
      <c r="AVZ51" s="4">
        <v>1</v>
      </c>
      <c r="AWA51" s="4">
        <v>40</v>
      </c>
      <c r="AWB51" s="4">
        <v>4</v>
      </c>
      <c r="AWC51" s="4" t="s">
        <v>1676</v>
      </c>
      <c r="AWD51" s="4">
        <v>8</v>
      </c>
      <c r="AWE51" s="4" t="s">
        <v>1671</v>
      </c>
      <c r="AWF51" s="4">
        <v>11</v>
      </c>
      <c r="AWG51" s="4">
        <v>18</v>
      </c>
      <c r="AWH51" s="4">
        <v>5</v>
      </c>
      <c r="AWI51" s="4">
        <v>0</v>
      </c>
      <c r="AWJ51" s="4">
        <v>0</v>
      </c>
      <c r="AWK51" s="4">
        <v>0</v>
      </c>
      <c r="AWL51" s="4">
        <v>0</v>
      </c>
      <c r="AWM51" s="4">
        <v>0</v>
      </c>
      <c r="AWN51" s="4">
        <v>0</v>
      </c>
      <c r="AWO51" s="4">
        <v>0</v>
      </c>
      <c r="AWP51" s="4">
        <v>0</v>
      </c>
      <c r="AWQ51" s="4">
        <v>0.79</v>
      </c>
      <c r="AWR51" s="4">
        <v>0</v>
      </c>
      <c r="AWS51" s="4">
        <v>0</v>
      </c>
      <c r="AWT51" s="4">
        <v>0</v>
      </c>
      <c r="AWU51" s="4">
        <v>0</v>
      </c>
      <c r="AWV51" s="4">
        <v>0</v>
      </c>
      <c r="AWW51" s="4">
        <v>0</v>
      </c>
      <c r="AWX51" s="4">
        <v>0</v>
      </c>
      <c r="AWY51" s="4">
        <v>0</v>
      </c>
      <c r="AWZ51" s="4">
        <v>4</v>
      </c>
      <c r="AXA51" s="4">
        <v>4</v>
      </c>
      <c r="AXB51" s="4">
        <v>0</v>
      </c>
      <c r="AXC51" s="4">
        <v>0</v>
      </c>
      <c r="AXD51" s="4">
        <v>0</v>
      </c>
      <c r="AXE51" s="4">
        <v>0</v>
      </c>
      <c r="AXF51" s="4">
        <v>0</v>
      </c>
      <c r="AXG51" s="4">
        <v>0</v>
      </c>
      <c r="AXH51" s="4">
        <v>0</v>
      </c>
      <c r="AXI51" s="4">
        <v>0</v>
      </c>
      <c r="AXJ51" s="4">
        <v>0</v>
      </c>
      <c r="AXK51" s="4">
        <v>0</v>
      </c>
      <c r="AXL51" s="4">
        <v>0</v>
      </c>
      <c r="AXM51" s="4">
        <v>0</v>
      </c>
      <c r="AXN51" s="4">
        <v>0</v>
      </c>
      <c r="AXO51" s="4">
        <v>0</v>
      </c>
      <c r="AXP51" s="4">
        <v>0</v>
      </c>
      <c r="AXQ51" s="4">
        <v>0</v>
      </c>
      <c r="AXR51" s="4">
        <v>0</v>
      </c>
      <c r="AXS51" s="4">
        <v>0</v>
      </c>
      <c r="AXT51" s="4">
        <v>0</v>
      </c>
      <c r="AXU51" s="4">
        <v>0</v>
      </c>
      <c r="AXV51" s="4">
        <v>0</v>
      </c>
      <c r="AXW51" s="4">
        <v>0</v>
      </c>
      <c r="AXX51" s="4">
        <v>0</v>
      </c>
      <c r="AXY51" s="4">
        <v>0</v>
      </c>
      <c r="AXZ51" s="4">
        <v>0</v>
      </c>
      <c r="AYA51" s="4">
        <v>0</v>
      </c>
      <c r="AYB51" s="4">
        <v>0</v>
      </c>
      <c r="AYC51" s="4">
        <v>0</v>
      </c>
      <c r="AYD51" s="4">
        <v>0</v>
      </c>
      <c r="AYE51" s="4">
        <v>0</v>
      </c>
      <c r="AYF51" s="4">
        <v>0</v>
      </c>
      <c r="AYG51" s="4">
        <v>0</v>
      </c>
      <c r="AYH51" s="4">
        <v>0</v>
      </c>
      <c r="AYI51" s="4">
        <v>0</v>
      </c>
      <c r="AYJ51" s="4">
        <v>0</v>
      </c>
      <c r="AYK51" s="4">
        <v>0</v>
      </c>
      <c r="AYL51" s="4">
        <v>0</v>
      </c>
      <c r="AYM51" s="4">
        <v>0</v>
      </c>
      <c r="AYN51" s="4">
        <v>0</v>
      </c>
      <c r="AYO51" s="4">
        <v>0</v>
      </c>
      <c r="AYP51" s="4">
        <v>0</v>
      </c>
      <c r="AYQ51" s="4">
        <v>0</v>
      </c>
      <c r="AYR51" s="4">
        <v>0</v>
      </c>
      <c r="AYS51" s="4">
        <v>0</v>
      </c>
      <c r="AYT51" s="4">
        <v>0</v>
      </c>
      <c r="AYU51" s="4">
        <v>2</v>
      </c>
      <c r="AYV51" s="4">
        <v>0</v>
      </c>
      <c r="AYW51" s="4">
        <v>0</v>
      </c>
      <c r="AYX51" s="4">
        <v>0</v>
      </c>
      <c r="AYY51" s="4">
        <v>0</v>
      </c>
      <c r="AYZ51" s="4">
        <v>0</v>
      </c>
      <c r="AZA51" s="4">
        <v>0</v>
      </c>
      <c r="AZB51" s="4">
        <v>0</v>
      </c>
      <c r="AZC51" s="4">
        <v>0</v>
      </c>
      <c r="AZD51" s="4">
        <v>0</v>
      </c>
      <c r="AZE51" s="4">
        <v>0</v>
      </c>
      <c r="AZF51" s="4">
        <v>0</v>
      </c>
      <c r="AZG51" s="4">
        <v>0</v>
      </c>
      <c r="AZH51" s="4">
        <v>0</v>
      </c>
      <c r="AZI51" s="4">
        <v>0</v>
      </c>
      <c r="AZJ51" s="4">
        <v>0</v>
      </c>
      <c r="AZK51" s="4">
        <v>0</v>
      </c>
      <c r="AZL51" s="4">
        <v>0</v>
      </c>
      <c r="AZM51" s="4">
        <v>0</v>
      </c>
      <c r="AZN51" s="4">
        <v>0</v>
      </c>
      <c r="AZO51" s="4">
        <v>0</v>
      </c>
      <c r="AZP51" s="4">
        <v>0</v>
      </c>
      <c r="AZQ51" s="4">
        <v>0</v>
      </c>
      <c r="AZR51" s="4">
        <v>0</v>
      </c>
      <c r="AZS51" s="4">
        <v>0</v>
      </c>
      <c r="AZT51" s="4">
        <v>0</v>
      </c>
      <c r="AZU51" s="4">
        <v>0</v>
      </c>
      <c r="AZV51" s="4">
        <v>0</v>
      </c>
      <c r="AZW51" s="4">
        <v>0</v>
      </c>
      <c r="AZX51" s="4">
        <v>0</v>
      </c>
      <c r="AZY51" s="4">
        <v>0</v>
      </c>
      <c r="AZZ51" s="4">
        <v>0</v>
      </c>
      <c r="BAA51" s="4">
        <v>0</v>
      </c>
      <c r="BAB51" s="4">
        <v>0</v>
      </c>
      <c r="BAC51" s="4">
        <v>0</v>
      </c>
      <c r="BAD51" s="4">
        <v>0</v>
      </c>
      <c r="BAE51" s="4">
        <v>0</v>
      </c>
      <c r="BAF51" s="4">
        <v>0</v>
      </c>
      <c r="BAG51" s="4">
        <v>0</v>
      </c>
      <c r="BAH51" s="4">
        <v>0</v>
      </c>
      <c r="BAI51" s="4">
        <v>0</v>
      </c>
      <c r="BAJ51" s="4">
        <v>0</v>
      </c>
      <c r="BAK51" s="4">
        <v>0</v>
      </c>
      <c r="BAL51" s="4">
        <v>2</v>
      </c>
      <c r="BAM51" s="4">
        <v>0</v>
      </c>
      <c r="BAN51" s="4">
        <v>0</v>
      </c>
      <c r="BAO51" s="4">
        <v>0</v>
      </c>
      <c r="BAP51" s="4">
        <v>0</v>
      </c>
      <c r="BAQ51" s="4">
        <v>0</v>
      </c>
      <c r="BAR51" s="4">
        <v>2</v>
      </c>
      <c r="BAS51" s="4">
        <v>0</v>
      </c>
      <c r="BAT51" s="4">
        <v>0</v>
      </c>
      <c r="BAU51" s="4">
        <v>0</v>
      </c>
      <c r="BAV51" s="4">
        <v>0</v>
      </c>
      <c r="BAW51" s="4">
        <v>0</v>
      </c>
      <c r="BAX51" s="4">
        <v>0</v>
      </c>
      <c r="BAY51" s="4">
        <v>0</v>
      </c>
      <c r="BAZ51" s="4">
        <v>0</v>
      </c>
      <c r="BBA51" s="4">
        <v>0</v>
      </c>
      <c r="BBB51" s="4">
        <v>0</v>
      </c>
      <c r="BBC51" s="4">
        <v>0</v>
      </c>
      <c r="BBD51" s="4">
        <v>0</v>
      </c>
      <c r="BBE51" s="4">
        <v>0</v>
      </c>
      <c r="BBF51" s="4">
        <v>4</v>
      </c>
      <c r="BBG51" s="4">
        <v>0</v>
      </c>
      <c r="BBH51" s="4">
        <v>0</v>
      </c>
      <c r="BBI51" s="4">
        <v>0</v>
      </c>
      <c r="BBJ51" s="4">
        <v>0</v>
      </c>
      <c r="BBK51" s="4">
        <v>0</v>
      </c>
      <c r="BBL51" s="4">
        <v>0</v>
      </c>
      <c r="BBM51" s="4">
        <v>0</v>
      </c>
      <c r="BBN51" s="4">
        <v>0</v>
      </c>
      <c r="BBO51" s="4">
        <v>0</v>
      </c>
      <c r="BBP51" s="4">
        <v>0</v>
      </c>
      <c r="BBQ51" s="4">
        <v>4</v>
      </c>
      <c r="BBR51" s="4">
        <v>0</v>
      </c>
      <c r="BBS51" s="4">
        <v>0</v>
      </c>
      <c r="BBT51" s="4">
        <v>0</v>
      </c>
      <c r="BBU51" s="4">
        <v>0</v>
      </c>
      <c r="BBV51" s="4">
        <v>0</v>
      </c>
      <c r="BBW51" s="4">
        <v>0</v>
      </c>
      <c r="BBX51" s="4">
        <v>0</v>
      </c>
      <c r="BBY51" s="4">
        <v>0</v>
      </c>
      <c r="BBZ51" s="4">
        <v>0</v>
      </c>
      <c r="BCA51" s="4">
        <v>0</v>
      </c>
      <c r="BCB51" s="4">
        <v>0</v>
      </c>
      <c r="BCC51" s="4">
        <v>0</v>
      </c>
      <c r="BCD51" s="4">
        <v>0</v>
      </c>
      <c r="BCE51" s="4">
        <v>0</v>
      </c>
      <c r="BCF51" s="4">
        <v>0</v>
      </c>
      <c r="BCG51" s="4">
        <v>0</v>
      </c>
      <c r="BCH51" s="4">
        <v>0</v>
      </c>
      <c r="BCI51" s="4">
        <v>0</v>
      </c>
      <c r="BCJ51" s="4">
        <v>0</v>
      </c>
      <c r="BCK51" s="4">
        <v>0</v>
      </c>
      <c r="BCL51" s="4">
        <v>0</v>
      </c>
      <c r="BCM51" s="4">
        <v>1</v>
      </c>
      <c r="BCN51" s="4">
        <v>0</v>
      </c>
      <c r="BCO51" s="4">
        <v>0</v>
      </c>
      <c r="BCP51" s="4">
        <v>0</v>
      </c>
      <c r="BCQ51" s="4">
        <v>0</v>
      </c>
      <c r="BCR51" s="4">
        <v>2</v>
      </c>
      <c r="BCS51" s="4">
        <v>0</v>
      </c>
      <c r="BCT51" s="4">
        <v>0</v>
      </c>
      <c r="BCU51" s="4">
        <v>0</v>
      </c>
      <c r="BCV51" s="4">
        <v>0</v>
      </c>
      <c r="BCW51" s="4">
        <v>0</v>
      </c>
      <c r="BCX51" s="4">
        <v>0</v>
      </c>
      <c r="BCY51" s="4">
        <v>0</v>
      </c>
      <c r="BCZ51" s="4">
        <v>0</v>
      </c>
      <c r="BDA51" s="4">
        <v>0</v>
      </c>
      <c r="BDB51" s="4">
        <v>0</v>
      </c>
      <c r="BDC51" s="4">
        <v>0</v>
      </c>
      <c r="BDD51" s="4">
        <v>0</v>
      </c>
      <c r="BDE51" s="4">
        <v>0</v>
      </c>
      <c r="BDF51" s="4">
        <v>0</v>
      </c>
      <c r="BDG51" s="4">
        <v>1</v>
      </c>
      <c r="BDH51" s="4">
        <v>0</v>
      </c>
      <c r="BDI51" s="4">
        <v>0</v>
      </c>
      <c r="BDJ51" s="4">
        <v>0</v>
      </c>
      <c r="BDK51" s="4">
        <v>0</v>
      </c>
      <c r="BDL51" s="4">
        <v>0</v>
      </c>
      <c r="BDM51" s="4">
        <v>0</v>
      </c>
      <c r="BDN51" s="4">
        <v>0</v>
      </c>
      <c r="BDO51" s="4">
        <v>0</v>
      </c>
      <c r="BDP51" s="4">
        <v>2</v>
      </c>
      <c r="BDQ51" s="4">
        <v>0</v>
      </c>
      <c r="BDR51" s="4">
        <v>0</v>
      </c>
      <c r="BDS51" s="4">
        <v>0</v>
      </c>
      <c r="BDT51" s="4">
        <v>7</v>
      </c>
      <c r="BDU51" s="4">
        <v>0</v>
      </c>
      <c r="BDV51" s="4">
        <v>0</v>
      </c>
      <c r="BDW51" s="4">
        <v>5</v>
      </c>
      <c r="BDX51" s="4">
        <v>0</v>
      </c>
      <c r="BDY51" s="4">
        <v>0</v>
      </c>
      <c r="BDZ51" s="4">
        <v>0</v>
      </c>
      <c r="BEA51" s="4">
        <v>0</v>
      </c>
      <c r="BEB51" s="4">
        <v>0</v>
      </c>
      <c r="BEC51" s="4">
        <v>0</v>
      </c>
      <c r="BED51" s="4">
        <v>0</v>
      </c>
      <c r="BEE51" s="4">
        <v>0</v>
      </c>
      <c r="BEF51" s="4">
        <v>0</v>
      </c>
      <c r="BEG51" s="4">
        <v>0</v>
      </c>
      <c r="BEH51" s="4">
        <v>0</v>
      </c>
      <c r="BEI51" s="4">
        <v>0</v>
      </c>
      <c r="BEJ51" s="4">
        <v>0</v>
      </c>
      <c r="BEK51" s="4">
        <v>0</v>
      </c>
      <c r="BEL51" s="4">
        <v>0</v>
      </c>
      <c r="BEM51" s="4">
        <v>0</v>
      </c>
      <c r="BEN51" s="4">
        <v>0</v>
      </c>
      <c r="BEO51" s="4">
        <v>0</v>
      </c>
      <c r="BEP51" s="4">
        <v>0</v>
      </c>
      <c r="BEQ51" s="4">
        <v>0</v>
      </c>
      <c r="BER51" s="4">
        <v>0</v>
      </c>
      <c r="BES51" s="4">
        <v>0</v>
      </c>
      <c r="BET51" s="4">
        <v>0</v>
      </c>
      <c r="BEU51" s="4">
        <v>0</v>
      </c>
      <c r="BEV51" s="4">
        <v>0</v>
      </c>
      <c r="BEW51" s="4">
        <v>0</v>
      </c>
      <c r="BEX51" s="4">
        <v>0</v>
      </c>
      <c r="BEY51" s="4">
        <v>0</v>
      </c>
      <c r="BEZ51" s="4">
        <v>0</v>
      </c>
      <c r="BFA51" s="4">
        <v>0</v>
      </c>
      <c r="BFB51" s="4">
        <v>0</v>
      </c>
      <c r="BFC51" s="4">
        <v>0</v>
      </c>
      <c r="BFD51" s="4">
        <v>0</v>
      </c>
      <c r="BFE51" s="4">
        <v>0</v>
      </c>
      <c r="BFF51" s="4">
        <v>0</v>
      </c>
      <c r="BFG51" s="4">
        <v>0</v>
      </c>
      <c r="BFH51" s="4">
        <v>0</v>
      </c>
      <c r="BFI51" s="4">
        <v>0</v>
      </c>
      <c r="BFJ51" s="4">
        <v>0</v>
      </c>
      <c r="BFK51" s="4">
        <v>0</v>
      </c>
      <c r="BFL51" s="4">
        <v>0</v>
      </c>
      <c r="BFM51" s="4">
        <v>0</v>
      </c>
      <c r="BFN51" s="4">
        <v>0</v>
      </c>
      <c r="BFO51" s="4">
        <v>0</v>
      </c>
      <c r="BFP51" s="4">
        <v>0</v>
      </c>
      <c r="BFQ51" s="4">
        <v>0</v>
      </c>
      <c r="BFR51" s="4">
        <v>0</v>
      </c>
      <c r="BFS51" s="4">
        <v>0</v>
      </c>
      <c r="BFT51" s="4">
        <v>0</v>
      </c>
      <c r="BFU51" s="4">
        <v>0</v>
      </c>
      <c r="BFV51" s="4">
        <v>0</v>
      </c>
      <c r="BFW51" s="4">
        <v>0</v>
      </c>
      <c r="BFX51" s="4">
        <v>0</v>
      </c>
      <c r="BFY51" s="4">
        <v>0</v>
      </c>
      <c r="BFZ51" s="4">
        <v>0</v>
      </c>
      <c r="BGA51" s="4">
        <v>0</v>
      </c>
      <c r="BGB51" s="4">
        <v>0</v>
      </c>
      <c r="BGC51" s="4">
        <v>0</v>
      </c>
      <c r="BGD51" s="4">
        <v>0</v>
      </c>
      <c r="BGE51" s="4">
        <v>0</v>
      </c>
      <c r="BGF51" s="4">
        <v>0</v>
      </c>
      <c r="BGG51" s="4">
        <v>0</v>
      </c>
      <c r="BGH51" s="4">
        <v>0</v>
      </c>
      <c r="BGI51" s="4">
        <v>0</v>
      </c>
      <c r="BGJ51" s="4">
        <v>0</v>
      </c>
      <c r="BGK51" s="4">
        <v>0</v>
      </c>
      <c r="BGL51" s="4">
        <v>0</v>
      </c>
      <c r="BGM51" s="4">
        <v>0</v>
      </c>
      <c r="BGN51" s="4">
        <v>0</v>
      </c>
      <c r="BGO51" s="4">
        <v>0</v>
      </c>
      <c r="BGP51" s="4">
        <v>0</v>
      </c>
      <c r="BGQ51" s="4">
        <v>0</v>
      </c>
      <c r="BGR51" s="4">
        <v>0</v>
      </c>
      <c r="BGS51" s="4">
        <v>0</v>
      </c>
      <c r="BGT51" s="4">
        <v>0</v>
      </c>
      <c r="BGU51" s="4">
        <v>0</v>
      </c>
      <c r="BGV51" s="4">
        <v>0</v>
      </c>
      <c r="BGW51" s="4">
        <v>0</v>
      </c>
      <c r="BGX51" s="4">
        <v>0</v>
      </c>
      <c r="BGY51" s="4">
        <v>0</v>
      </c>
      <c r="BGZ51" s="4">
        <v>0</v>
      </c>
      <c r="BHA51" s="4">
        <v>0</v>
      </c>
      <c r="BHB51" s="4">
        <v>0</v>
      </c>
      <c r="BHC51" s="4">
        <v>0</v>
      </c>
      <c r="BHD51" s="4">
        <v>0</v>
      </c>
      <c r="BHE51" s="4">
        <v>0</v>
      </c>
      <c r="BHF51" s="4">
        <v>0</v>
      </c>
      <c r="BHG51" s="4">
        <v>0</v>
      </c>
      <c r="BHH51" s="4">
        <v>0</v>
      </c>
      <c r="BHI51" s="4">
        <v>0</v>
      </c>
      <c r="BHJ51" s="4">
        <v>0</v>
      </c>
      <c r="BHK51" s="4">
        <v>0</v>
      </c>
      <c r="BHL51" s="4">
        <v>0</v>
      </c>
      <c r="BHM51" s="4">
        <v>0</v>
      </c>
      <c r="BHN51" s="4">
        <v>0</v>
      </c>
      <c r="BHO51" s="4">
        <v>0</v>
      </c>
      <c r="BHP51" s="4">
        <v>0</v>
      </c>
      <c r="BHQ51" s="4">
        <v>0</v>
      </c>
      <c r="BHR51" s="4">
        <v>0</v>
      </c>
      <c r="BHS51" s="4">
        <v>0</v>
      </c>
      <c r="BHT51" s="4">
        <v>0</v>
      </c>
      <c r="BHU51" s="4">
        <v>0</v>
      </c>
      <c r="BHV51" s="4">
        <v>0</v>
      </c>
      <c r="BHW51" s="4">
        <v>0</v>
      </c>
      <c r="BHX51" s="4">
        <v>0</v>
      </c>
      <c r="BHY51" s="4">
        <v>0</v>
      </c>
      <c r="BHZ51" s="4">
        <v>0</v>
      </c>
      <c r="BIA51" s="4">
        <v>0</v>
      </c>
      <c r="BIB51" s="4">
        <v>0</v>
      </c>
      <c r="BIC51" s="4">
        <v>0</v>
      </c>
      <c r="BID51" s="4">
        <v>0</v>
      </c>
      <c r="BIE51" s="4">
        <v>0</v>
      </c>
      <c r="BIF51" s="4">
        <v>0</v>
      </c>
      <c r="BIG51" s="4">
        <v>0</v>
      </c>
      <c r="BIH51" s="4">
        <v>0</v>
      </c>
      <c r="BII51" s="4">
        <v>0</v>
      </c>
      <c r="BIJ51" s="4">
        <v>0</v>
      </c>
      <c r="BIK51" s="4">
        <v>0</v>
      </c>
      <c r="BIL51" s="4">
        <v>0</v>
      </c>
      <c r="BIM51" s="4">
        <v>0</v>
      </c>
      <c r="BIN51" s="4">
        <v>0</v>
      </c>
      <c r="BIO51" s="4">
        <v>0</v>
      </c>
      <c r="BIP51" s="4">
        <v>0</v>
      </c>
      <c r="BIQ51" s="4">
        <v>0</v>
      </c>
      <c r="BIR51" s="4">
        <v>0</v>
      </c>
      <c r="BIS51" s="4">
        <v>0</v>
      </c>
      <c r="BIT51" s="4">
        <v>0</v>
      </c>
      <c r="BIU51" s="4">
        <v>0</v>
      </c>
      <c r="BIV51" s="4">
        <v>0</v>
      </c>
      <c r="BIW51" s="4">
        <v>0</v>
      </c>
      <c r="BIX51" s="4">
        <v>0</v>
      </c>
      <c r="BIY51" s="4">
        <v>0</v>
      </c>
      <c r="BIZ51" s="4">
        <v>0</v>
      </c>
      <c r="BJA51" s="4">
        <v>0</v>
      </c>
      <c r="BJB51" s="4">
        <v>0</v>
      </c>
      <c r="BJC51" s="4">
        <v>0</v>
      </c>
      <c r="BJD51" s="4">
        <v>0</v>
      </c>
      <c r="BJE51" s="4">
        <v>0</v>
      </c>
      <c r="BJF51" s="4">
        <v>0</v>
      </c>
      <c r="BJG51" s="4">
        <v>0</v>
      </c>
      <c r="BJH51" s="4">
        <v>0</v>
      </c>
      <c r="BJI51" s="4">
        <v>0</v>
      </c>
      <c r="BJJ51" s="4">
        <v>0</v>
      </c>
      <c r="BJK51" s="4">
        <v>0</v>
      </c>
      <c r="BJL51" s="4">
        <v>0</v>
      </c>
      <c r="BJM51" s="4">
        <v>0</v>
      </c>
      <c r="BJN51" s="4">
        <v>0</v>
      </c>
      <c r="BJO51" s="4">
        <v>0</v>
      </c>
      <c r="BJP51" s="4">
        <v>0</v>
      </c>
      <c r="BJQ51" s="4">
        <v>0</v>
      </c>
      <c r="BJR51" s="4">
        <v>0</v>
      </c>
      <c r="BJS51" s="4">
        <v>0</v>
      </c>
      <c r="BJT51" s="4">
        <v>0</v>
      </c>
      <c r="BJU51" s="4">
        <v>0</v>
      </c>
      <c r="BJV51" s="4">
        <v>0</v>
      </c>
      <c r="BJW51" s="4">
        <v>0</v>
      </c>
      <c r="BJX51" s="4">
        <v>0</v>
      </c>
      <c r="BJY51" s="4">
        <v>0</v>
      </c>
      <c r="BJZ51" s="4">
        <v>0</v>
      </c>
      <c r="BKA51" s="4">
        <v>0</v>
      </c>
      <c r="BKB51" s="4">
        <v>0</v>
      </c>
      <c r="BKC51" s="4">
        <v>0</v>
      </c>
      <c r="BKD51" s="4">
        <v>0</v>
      </c>
      <c r="BKE51" s="4">
        <v>0</v>
      </c>
      <c r="BKF51" s="4">
        <v>0</v>
      </c>
      <c r="BKG51" s="4">
        <v>0</v>
      </c>
      <c r="BKH51" s="4">
        <v>0</v>
      </c>
      <c r="BKI51" s="4">
        <v>0</v>
      </c>
      <c r="BKJ51" s="4">
        <v>0</v>
      </c>
      <c r="BKK51" s="4">
        <v>0</v>
      </c>
      <c r="BKL51" s="4">
        <v>0</v>
      </c>
      <c r="BKM51" s="4">
        <v>0</v>
      </c>
      <c r="BKN51" s="4">
        <v>0</v>
      </c>
      <c r="BKO51" s="4">
        <v>0</v>
      </c>
      <c r="BKP51" s="4">
        <v>0</v>
      </c>
      <c r="BKQ51" s="4">
        <v>0</v>
      </c>
      <c r="BKR51" s="4">
        <v>0</v>
      </c>
      <c r="BKS51" s="4">
        <v>0</v>
      </c>
      <c r="BKT51" s="4">
        <v>0</v>
      </c>
      <c r="BKU51" s="4">
        <v>0</v>
      </c>
      <c r="BKV51" s="4">
        <v>0</v>
      </c>
      <c r="BKW51" s="4">
        <v>0</v>
      </c>
      <c r="BKX51" s="4">
        <v>0</v>
      </c>
      <c r="BKY51" s="4">
        <v>0</v>
      </c>
      <c r="BKZ51" s="4">
        <v>0</v>
      </c>
      <c r="BLA51" s="4">
        <v>0</v>
      </c>
      <c r="BLB51" s="4">
        <v>0</v>
      </c>
      <c r="BLC51" s="4">
        <v>0</v>
      </c>
      <c r="BLD51" s="4">
        <v>0</v>
      </c>
      <c r="BLE51" s="4">
        <v>0</v>
      </c>
      <c r="BLF51" s="4">
        <v>0</v>
      </c>
      <c r="BLG51" s="4">
        <v>0</v>
      </c>
      <c r="BLH51" s="4">
        <v>0</v>
      </c>
      <c r="BLI51" s="4">
        <v>0</v>
      </c>
      <c r="BLJ51" s="4">
        <v>0</v>
      </c>
      <c r="BLK51" s="4">
        <v>0</v>
      </c>
    </row>
    <row r="52" spans="1:1675" x14ac:dyDescent="0.2">
      <c r="A52">
        <v>5</v>
      </c>
      <c r="B52">
        <v>8</v>
      </c>
      <c r="C52">
        <f t="shared" si="16"/>
        <v>80</v>
      </c>
      <c r="D52">
        <f t="shared" si="14"/>
        <v>967</v>
      </c>
      <c r="E52">
        <f t="shared" si="15"/>
        <v>51</v>
      </c>
      <c r="F52">
        <f t="shared" si="17"/>
        <v>2</v>
      </c>
      <c r="G52">
        <f t="shared" si="18"/>
        <v>2</v>
      </c>
      <c r="H52" cm="1">
        <f t="array" ref="H52">_xlfn.IFS(P52=0, 1, P52=7, 2, P52=5, 3)</f>
        <v>3</v>
      </c>
      <c r="I52" cm="1">
        <f t="array" ref="I52">_xlfn.IFS(H52=1, IF(AC52=0, P52, PO52), H52=2, IF(AC52=0, P52, AFN52), H52=3, IF(AC52=0, P52, AVM52))</f>
        <v>6</v>
      </c>
      <c r="J52" cm="1">
        <f t="array" ref="J52">_xlfn.IFS(I52=0, 1, I52=1, 0, I52=2, 7, I52=7, 2, I52=5, 6, I52=6, 5)</f>
        <v>5</v>
      </c>
      <c r="K52" t="str" cm="1">
        <f t="array" ref="K52">_xlfn.IFNA(_xlfn.IFS(P52&lt;&gt;P53, 1, A52&lt;&gt;A53, IF(P53=P52, 1)), "")</f>
        <v/>
      </c>
      <c r="L52" t="str">
        <f t="shared" si="7"/>
        <v/>
      </c>
      <c r="M52" t="s">
        <v>1764</v>
      </c>
      <c r="N52" s="4" t="s">
        <v>1751</v>
      </c>
      <c r="O52" s="4"/>
      <c r="P52" s="4">
        <v>5</v>
      </c>
      <c r="Q52" s="4">
        <v>25</v>
      </c>
      <c r="R52" s="4">
        <v>19</v>
      </c>
      <c r="S52" s="4">
        <v>14</v>
      </c>
      <c r="T52" s="4">
        <v>2</v>
      </c>
      <c r="U52" s="4">
        <v>0</v>
      </c>
      <c r="V52" s="4">
        <v>1</v>
      </c>
      <c r="W52" s="4">
        <v>18</v>
      </c>
      <c r="X52" s="4">
        <v>1</v>
      </c>
      <c r="Y52" s="4">
        <v>0</v>
      </c>
      <c r="Z52" s="4">
        <v>0</v>
      </c>
      <c r="AA52" s="4">
        <v>327</v>
      </c>
      <c r="AB52" s="4">
        <v>371</v>
      </c>
      <c r="AC52" s="4">
        <v>1</v>
      </c>
      <c r="AD52" s="4">
        <v>40</v>
      </c>
      <c r="AE52" s="4">
        <v>3</v>
      </c>
      <c r="AF52" s="4" t="s">
        <v>1680</v>
      </c>
      <c r="AG52" s="4">
        <v>10</v>
      </c>
      <c r="AH52" s="4" t="s">
        <v>1678</v>
      </c>
      <c r="AI52" s="4">
        <v>10</v>
      </c>
      <c r="AJ52" s="4">
        <v>13</v>
      </c>
      <c r="AK52" s="4">
        <v>6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1.36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2</v>
      </c>
      <c r="BD52" s="4">
        <v>5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1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2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1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1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3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4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7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1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2</v>
      </c>
      <c r="HT52" s="4">
        <v>0</v>
      </c>
      <c r="HU52" s="4">
        <v>0</v>
      </c>
      <c r="HV52" s="4">
        <v>0</v>
      </c>
      <c r="HW52" s="4">
        <v>3</v>
      </c>
      <c r="HX52" s="4">
        <v>0</v>
      </c>
      <c r="HY52" s="4">
        <v>0</v>
      </c>
      <c r="HZ52" s="4">
        <v>2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5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1</v>
      </c>
      <c r="JE52" s="4">
        <v>0</v>
      </c>
      <c r="JF52" s="4">
        <v>0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0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0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0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4">
        <v>0</v>
      </c>
      <c r="PH52" s="4">
        <v>0</v>
      </c>
      <c r="PI52" s="4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6</v>
      </c>
      <c r="PP52" s="4">
        <v>60</v>
      </c>
      <c r="PQ52" s="4">
        <v>12</v>
      </c>
      <c r="PR52" s="4">
        <v>14</v>
      </c>
      <c r="PS52" s="4">
        <v>10</v>
      </c>
      <c r="PT52" s="4">
        <v>0</v>
      </c>
      <c r="PU52" s="4">
        <v>0</v>
      </c>
      <c r="PV52" s="4">
        <v>6</v>
      </c>
      <c r="PW52" s="4">
        <v>2</v>
      </c>
      <c r="PX52" s="4">
        <v>4</v>
      </c>
      <c r="PY52" s="4">
        <v>0</v>
      </c>
      <c r="PZ52" s="4">
        <v>330</v>
      </c>
      <c r="QA52" s="4">
        <v>372</v>
      </c>
      <c r="QB52" s="4">
        <v>0</v>
      </c>
      <c r="QC52" s="4">
        <v>40</v>
      </c>
      <c r="QD52" s="4">
        <v>3</v>
      </c>
      <c r="QE52" s="4" t="s">
        <v>1671</v>
      </c>
      <c r="QF52" s="4">
        <v>9</v>
      </c>
      <c r="QG52" s="4" t="s">
        <v>1676</v>
      </c>
      <c r="QH52" s="4">
        <v>10</v>
      </c>
      <c r="QI52" s="4">
        <v>75</v>
      </c>
      <c r="QJ52" s="4">
        <v>3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0.86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10</v>
      </c>
      <c r="RC52" s="4">
        <v>3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1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1</v>
      </c>
      <c r="SW52" s="4">
        <v>2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1</v>
      </c>
      <c r="TE52" s="4">
        <v>0</v>
      </c>
      <c r="TF52" s="4">
        <v>0</v>
      </c>
      <c r="TG52" s="4">
        <v>0</v>
      </c>
      <c r="TH52" s="4">
        <v>0</v>
      </c>
      <c r="TI52" s="4">
        <v>0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1</v>
      </c>
      <c r="TP52" s="4">
        <v>0</v>
      </c>
      <c r="TQ52" s="4">
        <v>0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2</v>
      </c>
      <c r="UU52" s="4">
        <v>0</v>
      </c>
      <c r="UV52" s="4">
        <v>0</v>
      </c>
      <c r="UW52" s="4">
        <v>0</v>
      </c>
      <c r="UX52" s="4">
        <v>0</v>
      </c>
      <c r="UY52" s="4">
        <v>1</v>
      </c>
      <c r="UZ52" s="4">
        <v>0</v>
      </c>
      <c r="VA52" s="4">
        <v>0</v>
      </c>
      <c r="VB52" s="4">
        <v>0</v>
      </c>
      <c r="VC52" s="4">
        <v>0</v>
      </c>
      <c r="VD52" s="4">
        <v>0</v>
      </c>
      <c r="VE52" s="4">
        <v>0</v>
      </c>
      <c r="VF52" s="4">
        <v>2</v>
      </c>
      <c r="VG52" s="4">
        <v>0</v>
      </c>
      <c r="VH52" s="4">
        <v>2</v>
      </c>
      <c r="VI52" s="4">
        <v>0</v>
      </c>
      <c r="VJ52" s="4">
        <v>0</v>
      </c>
      <c r="VK52" s="4">
        <v>0</v>
      </c>
      <c r="VL52" s="4">
        <v>0</v>
      </c>
      <c r="VM52" s="4">
        <v>0</v>
      </c>
      <c r="VN52" s="4">
        <v>0</v>
      </c>
      <c r="VO52" s="4">
        <v>0</v>
      </c>
      <c r="VP52" s="4">
        <v>0</v>
      </c>
      <c r="VQ52" s="4">
        <v>0</v>
      </c>
      <c r="VR52" s="4">
        <v>0</v>
      </c>
      <c r="VS52" s="4">
        <v>3</v>
      </c>
      <c r="VT52" s="4">
        <v>0</v>
      </c>
      <c r="VU52" s="4">
        <v>0</v>
      </c>
      <c r="VV52" s="4">
        <v>0</v>
      </c>
      <c r="VW52" s="4">
        <v>0</v>
      </c>
      <c r="VX52" s="4">
        <v>0</v>
      </c>
      <c r="VY52" s="4">
        <v>0</v>
      </c>
      <c r="VZ52" s="4">
        <v>0</v>
      </c>
      <c r="WA52" s="4">
        <v>0</v>
      </c>
      <c r="WB52" s="4">
        <v>0</v>
      </c>
      <c r="WC52" s="4">
        <v>0</v>
      </c>
      <c r="WD52" s="4">
        <v>0</v>
      </c>
      <c r="WE52" s="4">
        <v>0</v>
      </c>
      <c r="WF52" s="4">
        <v>0</v>
      </c>
      <c r="WG52" s="4">
        <v>0</v>
      </c>
      <c r="WH52" s="4">
        <v>0</v>
      </c>
      <c r="WI52" s="4">
        <v>0</v>
      </c>
      <c r="WJ52" s="4">
        <v>0</v>
      </c>
      <c r="WK52" s="4">
        <v>0</v>
      </c>
      <c r="WL52" s="4">
        <v>0</v>
      </c>
      <c r="WM52" s="4">
        <v>0</v>
      </c>
      <c r="WN52" s="4">
        <v>0</v>
      </c>
      <c r="WO52" s="4">
        <v>0</v>
      </c>
      <c r="WP52" s="4">
        <v>0</v>
      </c>
      <c r="WQ52" s="4">
        <v>0</v>
      </c>
      <c r="WR52" s="4">
        <v>0</v>
      </c>
      <c r="WS52" s="4">
        <v>0</v>
      </c>
      <c r="WT52" s="4">
        <v>3</v>
      </c>
      <c r="WU52" s="4">
        <v>0</v>
      </c>
      <c r="WV52" s="4">
        <v>0</v>
      </c>
      <c r="WW52" s="4">
        <v>0</v>
      </c>
      <c r="WX52" s="4">
        <v>0</v>
      </c>
      <c r="WY52" s="4">
        <v>0</v>
      </c>
      <c r="WZ52" s="4">
        <v>0</v>
      </c>
      <c r="XA52" s="4">
        <v>0</v>
      </c>
      <c r="XB52" s="4">
        <v>0</v>
      </c>
      <c r="XC52" s="4">
        <v>0</v>
      </c>
      <c r="XD52" s="4">
        <v>0</v>
      </c>
      <c r="XE52" s="4">
        <v>0</v>
      </c>
      <c r="XF52" s="4">
        <v>0</v>
      </c>
      <c r="XG52" s="4">
        <v>0</v>
      </c>
      <c r="XH52" s="4">
        <v>0</v>
      </c>
      <c r="XI52" s="4">
        <v>0</v>
      </c>
      <c r="XJ52" s="4">
        <v>0</v>
      </c>
      <c r="XK52" s="4">
        <v>0</v>
      </c>
      <c r="XL52" s="4">
        <v>0</v>
      </c>
      <c r="XM52" s="4">
        <v>0</v>
      </c>
      <c r="XN52" s="4">
        <v>0</v>
      </c>
      <c r="XO52" s="4">
        <v>0</v>
      </c>
      <c r="XP52" s="4">
        <v>0</v>
      </c>
      <c r="XQ52" s="4">
        <v>0</v>
      </c>
      <c r="XR52" s="4">
        <v>2</v>
      </c>
      <c r="XS52" s="4">
        <v>0</v>
      </c>
      <c r="XT52" s="4">
        <v>0</v>
      </c>
      <c r="XU52" s="4">
        <v>0</v>
      </c>
      <c r="XV52" s="4">
        <v>4</v>
      </c>
      <c r="XW52" s="4">
        <v>0</v>
      </c>
      <c r="XX52" s="4">
        <v>0</v>
      </c>
      <c r="XY52" s="4">
        <v>0</v>
      </c>
      <c r="XZ52" s="4">
        <v>0</v>
      </c>
      <c r="YA52" s="4">
        <v>0</v>
      </c>
      <c r="YB52" s="4">
        <v>0</v>
      </c>
      <c r="YC52" s="4">
        <v>0</v>
      </c>
      <c r="YD52" s="4">
        <v>0</v>
      </c>
      <c r="YE52" s="4">
        <v>0</v>
      </c>
      <c r="YF52" s="4">
        <v>0</v>
      </c>
      <c r="YG52" s="4">
        <v>0</v>
      </c>
      <c r="YH52" s="4">
        <v>2</v>
      </c>
      <c r="YI52" s="4">
        <v>0</v>
      </c>
      <c r="YJ52" s="4">
        <v>0</v>
      </c>
      <c r="YK52" s="4">
        <v>0</v>
      </c>
      <c r="YL52" s="4">
        <v>0</v>
      </c>
      <c r="YM52" s="4">
        <v>0</v>
      </c>
      <c r="YN52" s="4">
        <v>0</v>
      </c>
      <c r="YO52" s="4">
        <v>0</v>
      </c>
      <c r="YP52" s="4">
        <v>0</v>
      </c>
      <c r="YQ52" s="4">
        <v>0</v>
      </c>
      <c r="YR52" s="4">
        <v>0</v>
      </c>
      <c r="YS52" s="4">
        <v>0</v>
      </c>
      <c r="YT52" s="4">
        <v>0</v>
      </c>
      <c r="YU52" s="4">
        <v>0</v>
      </c>
      <c r="YV52" s="4">
        <v>0</v>
      </c>
      <c r="YW52" s="4">
        <v>0</v>
      </c>
      <c r="YX52" s="4">
        <v>0</v>
      </c>
      <c r="YY52" s="4">
        <v>0</v>
      </c>
      <c r="YZ52" s="4">
        <v>0</v>
      </c>
      <c r="ZA52" s="4">
        <v>0</v>
      </c>
      <c r="ZB52" s="4">
        <v>0</v>
      </c>
      <c r="ZC52" s="4">
        <v>0</v>
      </c>
      <c r="ZD52" s="4">
        <v>0</v>
      </c>
      <c r="ZE52" s="4">
        <v>0</v>
      </c>
      <c r="ZF52" s="4">
        <v>0</v>
      </c>
      <c r="ZG52" s="4">
        <v>0</v>
      </c>
      <c r="ZH52" s="4">
        <v>0</v>
      </c>
      <c r="ZI52" s="4">
        <v>0</v>
      </c>
      <c r="ZJ52" s="4">
        <v>0</v>
      </c>
      <c r="ZK52" s="4">
        <v>0</v>
      </c>
      <c r="ZL52" s="4">
        <v>0</v>
      </c>
      <c r="ZM52" s="4">
        <v>0</v>
      </c>
      <c r="ZN52" s="4">
        <v>0</v>
      </c>
      <c r="ZO52" s="4">
        <v>0</v>
      </c>
      <c r="ZP52" s="4">
        <v>0</v>
      </c>
      <c r="ZQ52" s="4">
        <v>0</v>
      </c>
      <c r="ZR52" s="4">
        <v>0</v>
      </c>
      <c r="ZS52" s="4">
        <v>0</v>
      </c>
      <c r="ZT52" s="4">
        <v>0</v>
      </c>
      <c r="ZU52" s="4">
        <v>0</v>
      </c>
      <c r="ZV52" s="4">
        <v>0</v>
      </c>
      <c r="ZW52" s="4">
        <v>0</v>
      </c>
      <c r="ZX52" s="4">
        <v>0</v>
      </c>
      <c r="ZY52" s="4">
        <v>0</v>
      </c>
      <c r="ZZ52" s="4">
        <v>0</v>
      </c>
      <c r="AAA52" s="4">
        <v>0</v>
      </c>
      <c r="AAB52" s="4">
        <v>0</v>
      </c>
      <c r="AAC52" s="4">
        <v>0</v>
      </c>
      <c r="AAD52" s="4">
        <v>0</v>
      </c>
      <c r="AAE52" s="4">
        <v>0</v>
      </c>
      <c r="AAF52" s="4">
        <v>0</v>
      </c>
      <c r="AAG52" s="4">
        <v>0</v>
      </c>
      <c r="AAH52" s="4">
        <v>0</v>
      </c>
      <c r="AAI52" s="4">
        <v>0</v>
      </c>
      <c r="AAJ52" s="4">
        <v>0</v>
      </c>
      <c r="AAK52" s="4">
        <v>0</v>
      </c>
      <c r="AAL52" s="4">
        <v>0</v>
      </c>
      <c r="AAM52" s="4">
        <v>0</v>
      </c>
      <c r="AAN52" s="4">
        <v>0</v>
      </c>
      <c r="AAO52" s="4">
        <v>0</v>
      </c>
      <c r="AAP52" s="4">
        <v>0</v>
      </c>
      <c r="AAQ52" s="4">
        <v>0</v>
      </c>
      <c r="AAR52" s="4">
        <v>0</v>
      </c>
      <c r="AAS52" s="4">
        <v>0</v>
      </c>
      <c r="AAT52" s="4">
        <v>0</v>
      </c>
      <c r="AAU52" s="4">
        <v>0</v>
      </c>
      <c r="AAV52" s="4">
        <v>0</v>
      </c>
      <c r="AAW52" s="4">
        <v>0</v>
      </c>
      <c r="AAX52" s="4">
        <v>0</v>
      </c>
      <c r="AAY52" s="4">
        <v>0</v>
      </c>
      <c r="AAZ52" s="4">
        <v>0</v>
      </c>
      <c r="ABA52" s="4">
        <v>0</v>
      </c>
      <c r="ABB52" s="4">
        <v>0</v>
      </c>
      <c r="ABC52" s="4">
        <v>0</v>
      </c>
      <c r="ABD52" s="4">
        <v>0</v>
      </c>
      <c r="ABE52" s="4">
        <v>0</v>
      </c>
      <c r="ABF52" s="4">
        <v>0</v>
      </c>
      <c r="ABG52" s="4">
        <v>0</v>
      </c>
      <c r="ABH52" s="4">
        <v>0</v>
      </c>
      <c r="ABI52" s="4">
        <v>0</v>
      </c>
      <c r="ABJ52" s="4">
        <v>0</v>
      </c>
      <c r="ABK52" s="4">
        <v>0</v>
      </c>
      <c r="ABL52" s="4">
        <v>0</v>
      </c>
      <c r="ABM52" s="4">
        <v>0</v>
      </c>
      <c r="ABN52" s="4">
        <v>0</v>
      </c>
      <c r="ABO52" s="4">
        <v>0</v>
      </c>
      <c r="ABP52" s="4">
        <v>0</v>
      </c>
      <c r="ABQ52" s="4">
        <v>0</v>
      </c>
      <c r="ABR52" s="4">
        <v>0</v>
      </c>
      <c r="ABS52" s="4">
        <v>0</v>
      </c>
      <c r="ABT52" s="4">
        <v>0</v>
      </c>
      <c r="ABU52" s="4">
        <v>0</v>
      </c>
      <c r="ABV52" s="4">
        <v>0</v>
      </c>
      <c r="ABW52" s="4">
        <v>0</v>
      </c>
      <c r="ABX52" s="4">
        <v>0</v>
      </c>
      <c r="ABY52" s="4">
        <v>0</v>
      </c>
      <c r="ABZ52" s="4">
        <v>0</v>
      </c>
      <c r="ACA52" s="4">
        <v>0</v>
      </c>
      <c r="ACB52" s="4">
        <v>0</v>
      </c>
      <c r="ACC52" s="4">
        <v>0</v>
      </c>
      <c r="ACD52" s="4">
        <v>0</v>
      </c>
      <c r="ACE52" s="4">
        <v>0</v>
      </c>
      <c r="ACF52" s="4">
        <v>0</v>
      </c>
      <c r="ACG52" s="4">
        <v>0</v>
      </c>
      <c r="ACH52" s="4">
        <v>0</v>
      </c>
      <c r="ACI52" s="4">
        <v>0</v>
      </c>
      <c r="ACJ52" s="4">
        <v>0</v>
      </c>
      <c r="ACK52" s="4">
        <v>0</v>
      </c>
      <c r="ACL52" s="4">
        <v>0</v>
      </c>
      <c r="ACM52" s="4">
        <v>0</v>
      </c>
      <c r="ACN52" s="4">
        <v>0</v>
      </c>
      <c r="ACO52" s="4">
        <v>0</v>
      </c>
      <c r="ACP52" s="4">
        <v>0</v>
      </c>
      <c r="ACQ52" s="4">
        <v>0</v>
      </c>
      <c r="ACR52" s="4">
        <v>0</v>
      </c>
      <c r="ACS52" s="4">
        <v>0</v>
      </c>
      <c r="ACT52" s="4">
        <v>0</v>
      </c>
      <c r="ACU52" s="4">
        <v>0</v>
      </c>
      <c r="ACV52" s="4">
        <v>0</v>
      </c>
      <c r="ACW52" s="4">
        <v>0</v>
      </c>
      <c r="ACX52" s="4">
        <v>0</v>
      </c>
      <c r="ACY52" s="4">
        <v>0</v>
      </c>
      <c r="ACZ52" s="4">
        <v>0</v>
      </c>
      <c r="ADA52" s="4">
        <v>0</v>
      </c>
      <c r="ADB52" s="4">
        <v>0</v>
      </c>
      <c r="ADC52" s="4">
        <v>0</v>
      </c>
      <c r="ADD52" s="4">
        <v>0</v>
      </c>
      <c r="ADE52" s="4">
        <v>0</v>
      </c>
      <c r="ADF52" s="4">
        <v>0</v>
      </c>
      <c r="ADG52" s="4">
        <v>0</v>
      </c>
      <c r="ADH52" s="4">
        <v>0</v>
      </c>
      <c r="ADI52" s="4">
        <v>0</v>
      </c>
      <c r="ADJ52" s="4">
        <v>0</v>
      </c>
      <c r="ADK52" s="4">
        <v>0</v>
      </c>
      <c r="ADL52" s="4">
        <v>0</v>
      </c>
      <c r="ADM52" s="4">
        <v>0</v>
      </c>
      <c r="ADN52" s="4">
        <v>0</v>
      </c>
      <c r="ADO52" s="4">
        <v>0</v>
      </c>
      <c r="ADP52" s="4">
        <v>0</v>
      </c>
      <c r="ADQ52" s="4">
        <v>0</v>
      </c>
      <c r="ADR52" s="4">
        <v>0</v>
      </c>
      <c r="ADS52" s="4">
        <v>0</v>
      </c>
      <c r="ADT52" s="4">
        <v>0</v>
      </c>
      <c r="ADU52" s="4">
        <v>0</v>
      </c>
      <c r="ADV52" s="4">
        <v>0</v>
      </c>
      <c r="ADW52" s="4">
        <v>0</v>
      </c>
      <c r="ADX52" s="4">
        <v>0</v>
      </c>
      <c r="ADY52" s="4">
        <v>0</v>
      </c>
      <c r="ADZ52" s="4">
        <v>0</v>
      </c>
      <c r="AEA52" s="4">
        <v>0</v>
      </c>
      <c r="AEB52" s="4">
        <v>0</v>
      </c>
      <c r="AEC52" s="4">
        <v>0</v>
      </c>
      <c r="AED52" s="4">
        <v>0</v>
      </c>
      <c r="AEE52" s="4">
        <v>0</v>
      </c>
      <c r="AEF52" s="4">
        <v>0</v>
      </c>
      <c r="AEG52" s="4">
        <v>0</v>
      </c>
      <c r="AEH52" s="4">
        <v>0</v>
      </c>
      <c r="AEI52" s="4">
        <v>0</v>
      </c>
      <c r="AEJ52" s="4">
        <v>0</v>
      </c>
      <c r="AEK52" s="4">
        <v>0</v>
      </c>
      <c r="AEL52" s="4">
        <v>0</v>
      </c>
      <c r="AEM52" s="4">
        <v>0</v>
      </c>
      <c r="AEN52" s="4">
        <v>0</v>
      </c>
      <c r="AEO52" s="4">
        <v>0</v>
      </c>
      <c r="AEP52" s="4">
        <v>0</v>
      </c>
      <c r="AEQ52" s="4">
        <v>0</v>
      </c>
      <c r="AER52" s="4">
        <v>0</v>
      </c>
      <c r="AES52" s="4">
        <v>0</v>
      </c>
      <c r="AET52" s="4">
        <v>0</v>
      </c>
      <c r="AEU52" s="4">
        <v>0</v>
      </c>
      <c r="AEV52" s="4">
        <v>0</v>
      </c>
      <c r="AEW52" s="4">
        <v>0</v>
      </c>
      <c r="AEX52" s="4">
        <v>0</v>
      </c>
      <c r="AEY52" s="4">
        <v>0</v>
      </c>
      <c r="AEZ52" s="4">
        <v>0</v>
      </c>
      <c r="AFA52" s="4">
        <v>0</v>
      </c>
      <c r="AFB52" s="4">
        <v>0</v>
      </c>
      <c r="AFC52" s="4">
        <v>0</v>
      </c>
      <c r="AFD52" s="4">
        <v>0</v>
      </c>
      <c r="AFE52" s="4">
        <v>0</v>
      </c>
      <c r="AFF52" s="4">
        <v>0</v>
      </c>
      <c r="AFG52" s="4">
        <v>0</v>
      </c>
      <c r="AFH52" s="4">
        <v>0</v>
      </c>
      <c r="AFI52" s="4">
        <v>0</v>
      </c>
      <c r="AFJ52" s="4">
        <v>0</v>
      </c>
      <c r="AFK52" s="4">
        <v>0</v>
      </c>
      <c r="AFL52" s="4">
        <v>0</v>
      </c>
      <c r="AFM52" s="4">
        <v>0</v>
      </c>
      <c r="AFN52" s="4">
        <v>5</v>
      </c>
      <c r="AFO52" s="4">
        <v>51</v>
      </c>
      <c r="AFP52" s="4">
        <v>9</v>
      </c>
      <c r="AFQ52" s="4">
        <v>14</v>
      </c>
      <c r="AFR52" s="4">
        <v>5</v>
      </c>
      <c r="AFS52" s="4">
        <v>0</v>
      </c>
      <c r="AFT52" s="4">
        <v>0</v>
      </c>
      <c r="AFU52" s="4">
        <v>2</v>
      </c>
      <c r="AFV52" s="4">
        <v>3</v>
      </c>
      <c r="AFW52" s="4">
        <v>4</v>
      </c>
      <c r="AFX52" s="4">
        <v>0</v>
      </c>
      <c r="AFY52" s="4">
        <v>330</v>
      </c>
      <c r="AFZ52" s="4">
        <v>371</v>
      </c>
      <c r="AGA52" s="4">
        <v>1</v>
      </c>
      <c r="AGB52" s="4">
        <v>27</v>
      </c>
      <c r="AGC52" s="4">
        <v>3</v>
      </c>
      <c r="AGD52" s="4" t="s">
        <v>1678</v>
      </c>
      <c r="AGE52" s="4">
        <v>5</v>
      </c>
      <c r="AGF52" s="4" t="s">
        <v>1680</v>
      </c>
      <c r="AGG52" s="4">
        <v>9</v>
      </c>
      <c r="AGH52" s="4">
        <v>20</v>
      </c>
      <c r="AGI52" s="4">
        <v>3</v>
      </c>
      <c r="AGJ52" s="4">
        <v>0</v>
      </c>
      <c r="AGK52" s="4">
        <v>0</v>
      </c>
      <c r="AGL52" s="4">
        <v>0</v>
      </c>
      <c r="AGM52" s="4">
        <v>0</v>
      </c>
      <c r="AGN52" s="4">
        <v>0</v>
      </c>
      <c r="AGO52" s="4">
        <v>0</v>
      </c>
      <c r="AGP52" s="4">
        <v>0</v>
      </c>
      <c r="AGQ52" s="4">
        <v>0</v>
      </c>
      <c r="AGR52" s="4">
        <v>0.64</v>
      </c>
      <c r="AGS52" s="4">
        <v>0</v>
      </c>
      <c r="AGT52" s="4">
        <v>0</v>
      </c>
      <c r="AGU52" s="4">
        <v>0</v>
      </c>
      <c r="AGV52" s="4">
        <v>0</v>
      </c>
      <c r="AGW52" s="4">
        <v>0</v>
      </c>
      <c r="AGX52" s="4">
        <v>0</v>
      </c>
      <c r="AGY52" s="4">
        <v>0</v>
      </c>
      <c r="AGZ52" s="4">
        <v>0</v>
      </c>
      <c r="AHA52" s="4">
        <v>5</v>
      </c>
      <c r="AHB52" s="4">
        <v>2</v>
      </c>
      <c r="AHC52" s="4">
        <v>0</v>
      </c>
      <c r="AHD52" s="4">
        <v>0</v>
      </c>
      <c r="AHE52" s="4">
        <v>0</v>
      </c>
      <c r="AHF52" s="4">
        <v>0</v>
      </c>
      <c r="AHG52" s="4">
        <v>0</v>
      </c>
      <c r="AHH52" s="4">
        <v>0</v>
      </c>
      <c r="AHI52" s="4">
        <v>0</v>
      </c>
      <c r="AHJ52" s="4">
        <v>0</v>
      </c>
      <c r="AHK52" s="4">
        <v>0</v>
      </c>
      <c r="AHL52" s="4">
        <v>0</v>
      </c>
      <c r="AHM52" s="4">
        <v>0</v>
      </c>
      <c r="AHN52" s="4">
        <v>0</v>
      </c>
      <c r="AHO52" s="4">
        <v>0</v>
      </c>
      <c r="AHP52" s="4">
        <v>0</v>
      </c>
      <c r="AHQ52" s="4">
        <v>0</v>
      </c>
      <c r="AHR52" s="4">
        <v>0</v>
      </c>
      <c r="AHS52" s="4">
        <v>0</v>
      </c>
      <c r="AHT52" s="4">
        <v>0</v>
      </c>
      <c r="AHU52" s="4">
        <v>0</v>
      </c>
      <c r="AHV52" s="4">
        <v>0</v>
      </c>
      <c r="AHW52" s="4">
        <v>0</v>
      </c>
      <c r="AHX52" s="4">
        <v>0</v>
      </c>
      <c r="AHY52" s="4">
        <v>0</v>
      </c>
      <c r="AHZ52" s="4">
        <v>0</v>
      </c>
      <c r="AIA52" s="4">
        <v>0</v>
      </c>
      <c r="AIB52" s="4">
        <v>0</v>
      </c>
      <c r="AIC52" s="4">
        <v>0</v>
      </c>
      <c r="AID52" s="4">
        <v>0</v>
      </c>
      <c r="AIE52" s="4">
        <v>0</v>
      </c>
      <c r="AIF52" s="4">
        <v>0</v>
      </c>
      <c r="AIG52" s="4">
        <v>0</v>
      </c>
      <c r="AIH52" s="4">
        <v>0</v>
      </c>
      <c r="AII52" s="4">
        <v>0</v>
      </c>
      <c r="AIJ52" s="4">
        <v>0</v>
      </c>
      <c r="AIK52" s="4">
        <v>0</v>
      </c>
      <c r="AIL52" s="4">
        <v>0</v>
      </c>
      <c r="AIM52" s="4">
        <v>0</v>
      </c>
      <c r="AIN52" s="4">
        <v>0</v>
      </c>
      <c r="AIO52" s="4">
        <v>0</v>
      </c>
      <c r="AIP52" s="4">
        <v>0</v>
      </c>
      <c r="AIQ52" s="4">
        <v>0</v>
      </c>
      <c r="AIR52" s="4">
        <v>0</v>
      </c>
      <c r="AIS52" s="4">
        <v>0</v>
      </c>
      <c r="AIT52" s="4">
        <v>0</v>
      </c>
      <c r="AIU52" s="4">
        <v>1</v>
      </c>
      <c r="AIV52" s="4">
        <v>1</v>
      </c>
      <c r="AIW52" s="4">
        <v>0</v>
      </c>
      <c r="AIX52" s="4">
        <v>0</v>
      </c>
      <c r="AIY52" s="4">
        <v>0</v>
      </c>
      <c r="AIZ52" s="4">
        <v>0</v>
      </c>
      <c r="AJA52" s="4">
        <v>0</v>
      </c>
      <c r="AJB52" s="4">
        <v>0</v>
      </c>
      <c r="AJC52" s="4">
        <v>0</v>
      </c>
      <c r="AJD52" s="4">
        <v>0</v>
      </c>
      <c r="AJE52" s="4">
        <v>0</v>
      </c>
      <c r="AJF52" s="4">
        <v>0</v>
      </c>
      <c r="AJG52" s="4">
        <v>0</v>
      </c>
      <c r="AJH52" s="4">
        <v>0</v>
      </c>
      <c r="AJI52" s="4">
        <v>0</v>
      </c>
      <c r="AJJ52" s="4">
        <v>0</v>
      </c>
      <c r="AJK52" s="4">
        <v>0</v>
      </c>
      <c r="AJL52" s="4">
        <v>0</v>
      </c>
      <c r="AJM52" s="4">
        <v>0</v>
      </c>
      <c r="AJN52" s="4">
        <v>0</v>
      </c>
      <c r="AJO52" s="4">
        <v>0</v>
      </c>
      <c r="AJP52" s="4">
        <v>0</v>
      </c>
      <c r="AJQ52" s="4">
        <v>0</v>
      </c>
      <c r="AJR52" s="4">
        <v>0</v>
      </c>
      <c r="AJS52" s="4">
        <v>0</v>
      </c>
      <c r="AJT52" s="4">
        <v>0</v>
      </c>
      <c r="AJU52" s="4">
        <v>0</v>
      </c>
      <c r="AJV52" s="4">
        <v>0</v>
      </c>
      <c r="AJW52" s="4">
        <v>0</v>
      </c>
      <c r="AJX52" s="4">
        <v>0</v>
      </c>
      <c r="AJY52" s="4">
        <v>0</v>
      </c>
      <c r="AJZ52" s="4">
        <v>0</v>
      </c>
      <c r="AKA52" s="4">
        <v>0</v>
      </c>
      <c r="AKB52" s="4">
        <v>0</v>
      </c>
      <c r="AKC52" s="4">
        <v>0</v>
      </c>
      <c r="AKD52" s="4">
        <v>0</v>
      </c>
      <c r="AKE52" s="4">
        <v>0</v>
      </c>
      <c r="AKF52" s="4">
        <v>0</v>
      </c>
      <c r="AKG52" s="4">
        <v>0</v>
      </c>
      <c r="AKH52" s="4">
        <v>0</v>
      </c>
      <c r="AKI52" s="4">
        <v>0</v>
      </c>
      <c r="AKJ52" s="4">
        <v>0</v>
      </c>
      <c r="AKK52" s="4">
        <v>0</v>
      </c>
      <c r="AKL52" s="4">
        <v>0</v>
      </c>
      <c r="AKM52" s="4">
        <v>0</v>
      </c>
      <c r="AKN52" s="4">
        <v>0</v>
      </c>
      <c r="AKO52" s="4">
        <v>0</v>
      </c>
      <c r="AKP52" s="4">
        <v>0</v>
      </c>
      <c r="AKQ52" s="4">
        <v>0</v>
      </c>
      <c r="AKR52" s="4">
        <v>0</v>
      </c>
      <c r="AKS52" s="4">
        <v>3</v>
      </c>
      <c r="AKT52" s="4">
        <v>0</v>
      </c>
      <c r="AKU52" s="4">
        <v>0</v>
      </c>
      <c r="AKV52" s="4">
        <v>0</v>
      </c>
      <c r="AKW52" s="4">
        <v>0</v>
      </c>
      <c r="AKX52" s="4">
        <v>0</v>
      </c>
      <c r="AKY52" s="4">
        <v>0</v>
      </c>
      <c r="AKZ52" s="4">
        <v>0</v>
      </c>
      <c r="ALA52" s="4">
        <v>0</v>
      </c>
      <c r="ALB52" s="4">
        <v>0</v>
      </c>
      <c r="ALC52" s="4">
        <v>0</v>
      </c>
      <c r="ALD52" s="4">
        <v>0</v>
      </c>
      <c r="ALE52" s="4">
        <v>2</v>
      </c>
      <c r="ALF52" s="4">
        <v>0</v>
      </c>
      <c r="ALG52" s="4">
        <v>2</v>
      </c>
      <c r="ALH52" s="4">
        <v>0</v>
      </c>
      <c r="ALI52" s="4">
        <v>0</v>
      </c>
      <c r="ALJ52" s="4">
        <v>0</v>
      </c>
      <c r="ALK52" s="4">
        <v>0</v>
      </c>
      <c r="ALL52" s="4">
        <v>0</v>
      </c>
      <c r="ALM52" s="4">
        <v>0</v>
      </c>
      <c r="ALN52" s="4">
        <v>0</v>
      </c>
      <c r="ALO52" s="4">
        <v>0</v>
      </c>
      <c r="ALP52" s="4">
        <v>0</v>
      </c>
      <c r="ALQ52" s="4">
        <v>0</v>
      </c>
      <c r="ALR52" s="4">
        <v>2</v>
      </c>
      <c r="ALS52" s="4">
        <v>0</v>
      </c>
      <c r="ALT52" s="4">
        <v>0</v>
      </c>
      <c r="ALU52" s="4">
        <v>0</v>
      </c>
      <c r="ALV52" s="4">
        <v>0</v>
      </c>
      <c r="ALW52" s="4">
        <v>0</v>
      </c>
      <c r="ALX52" s="4">
        <v>0</v>
      </c>
      <c r="ALY52" s="4">
        <v>0</v>
      </c>
      <c r="ALZ52" s="4">
        <v>0</v>
      </c>
      <c r="AMA52" s="4">
        <v>0</v>
      </c>
      <c r="AMB52" s="4">
        <v>0</v>
      </c>
      <c r="AMC52" s="4">
        <v>0</v>
      </c>
      <c r="AMD52" s="4">
        <v>0</v>
      </c>
      <c r="AME52" s="4">
        <v>0</v>
      </c>
      <c r="AMF52" s="4">
        <v>0</v>
      </c>
      <c r="AMG52" s="4">
        <v>0</v>
      </c>
      <c r="AMH52" s="4">
        <v>0</v>
      </c>
      <c r="AMI52" s="4">
        <v>0</v>
      </c>
      <c r="AMJ52" s="4">
        <v>0</v>
      </c>
      <c r="AMK52" s="4">
        <v>0</v>
      </c>
      <c r="AML52" s="4">
        <v>0</v>
      </c>
      <c r="AMM52" s="4">
        <v>0</v>
      </c>
      <c r="AMN52" s="4">
        <v>1</v>
      </c>
      <c r="AMO52" s="4">
        <v>0</v>
      </c>
      <c r="AMP52" s="4">
        <v>0</v>
      </c>
      <c r="AMQ52" s="4">
        <v>0</v>
      </c>
      <c r="AMR52" s="4">
        <v>0</v>
      </c>
      <c r="AMS52" s="4">
        <v>2</v>
      </c>
      <c r="AMT52" s="4">
        <v>0</v>
      </c>
      <c r="AMU52" s="4">
        <v>0</v>
      </c>
      <c r="AMV52" s="4">
        <v>0</v>
      </c>
      <c r="AMW52" s="4">
        <v>0</v>
      </c>
      <c r="AMX52" s="4">
        <v>0</v>
      </c>
      <c r="AMY52" s="4">
        <v>0</v>
      </c>
      <c r="AMZ52" s="4">
        <v>0</v>
      </c>
      <c r="ANA52" s="4">
        <v>0</v>
      </c>
      <c r="ANB52" s="4">
        <v>0</v>
      </c>
      <c r="ANC52" s="4">
        <v>0</v>
      </c>
      <c r="AND52" s="4">
        <v>0</v>
      </c>
      <c r="ANE52" s="4">
        <v>0</v>
      </c>
      <c r="ANF52" s="4">
        <v>0</v>
      </c>
      <c r="ANG52" s="4">
        <v>0</v>
      </c>
      <c r="ANH52" s="4">
        <v>0</v>
      </c>
      <c r="ANI52" s="4">
        <v>0</v>
      </c>
      <c r="ANJ52" s="4">
        <v>0</v>
      </c>
      <c r="ANK52" s="4">
        <v>0</v>
      </c>
      <c r="ANL52" s="4">
        <v>0</v>
      </c>
      <c r="ANM52" s="4">
        <v>0</v>
      </c>
      <c r="ANN52" s="4">
        <v>0</v>
      </c>
      <c r="ANO52" s="4">
        <v>0</v>
      </c>
      <c r="ANP52" s="4">
        <v>0</v>
      </c>
      <c r="ANQ52" s="4">
        <v>0</v>
      </c>
      <c r="ANR52" s="4">
        <v>0</v>
      </c>
      <c r="ANS52" s="4">
        <v>0</v>
      </c>
      <c r="ANT52" s="4">
        <v>0</v>
      </c>
      <c r="ANU52" s="4">
        <v>4</v>
      </c>
      <c r="ANV52" s="4">
        <v>0</v>
      </c>
      <c r="ANW52" s="4">
        <v>0</v>
      </c>
      <c r="ANX52" s="4">
        <v>0</v>
      </c>
      <c r="ANY52" s="4">
        <v>0</v>
      </c>
      <c r="ANZ52" s="4">
        <v>0</v>
      </c>
      <c r="AOA52" s="4">
        <v>0</v>
      </c>
      <c r="AOB52" s="4">
        <v>0</v>
      </c>
      <c r="AOC52" s="4">
        <v>0</v>
      </c>
      <c r="AOD52" s="4">
        <v>0</v>
      </c>
      <c r="AOE52" s="4">
        <v>0</v>
      </c>
      <c r="AOF52" s="4">
        <v>0</v>
      </c>
      <c r="AOG52" s="4">
        <v>0</v>
      </c>
      <c r="AOH52" s="4">
        <v>0</v>
      </c>
      <c r="AOI52" s="4">
        <v>0</v>
      </c>
      <c r="AOJ52" s="4">
        <v>0</v>
      </c>
      <c r="AOK52" s="4">
        <v>0</v>
      </c>
      <c r="AOL52" s="4">
        <v>0</v>
      </c>
      <c r="AOM52" s="4">
        <v>0</v>
      </c>
      <c r="AON52" s="4">
        <v>0</v>
      </c>
      <c r="AOO52" s="4">
        <v>0</v>
      </c>
      <c r="AOP52" s="4">
        <v>0</v>
      </c>
      <c r="AOQ52" s="4">
        <v>0</v>
      </c>
      <c r="AOR52" s="4">
        <v>0</v>
      </c>
      <c r="AOS52" s="4">
        <v>0</v>
      </c>
      <c r="AOT52" s="4">
        <v>0</v>
      </c>
      <c r="AOU52" s="4">
        <v>0</v>
      </c>
      <c r="AOV52" s="4">
        <v>0</v>
      </c>
      <c r="AOW52" s="4">
        <v>0</v>
      </c>
      <c r="AOX52" s="4">
        <v>0</v>
      </c>
      <c r="AOY52" s="4">
        <v>0</v>
      </c>
      <c r="AOZ52" s="4">
        <v>0</v>
      </c>
      <c r="APA52" s="4">
        <v>0</v>
      </c>
      <c r="APB52" s="4">
        <v>0</v>
      </c>
      <c r="APC52" s="4">
        <v>0</v>
      </c>
      <c r="APD52" s="4">
        <v>2</v>
      </c>
      <c r="APE52" s="4">
        <v>0</v>
      </c>
      <c r="APF52" s="4">
        <v>0</v>
      </c>
      <c r="APG52" s="4">
        <v>0</v>
      </c>
      <c r="APH52" s="4">
        <v>0</v>
      </c>
      <c r="API52" s="4">
        <v>0</v>
      </c>
      <c r="APJ52" s="4">
        <v>0</v>
      </c>
      <c r="APK52" s="4">
        <v>0</v>
      </c>
      <c r="APL52" s="4">
        <v>0</v>
      </c>
      <c r="APM52" s="4">
        <v>0</v>
      </c>
      <c r="APN52" s="4">
        <v>0</v>
      </c>
      <c r="APO52" s="4">
        <v>0</v>
      </c>
      <c r="APP52" s="4">
        <v>0</v>
      </c>
      <c r="APQ52" s="4">
        <v>0</v>
      </c>
      <c r="APR52" s="4">
        <v>0</v>
      </c>
      <c r="APS52" s="4">
        <v>0</v>
      </c>
      <c r="APT52" s="4">
        <v>0</v>
      </c>
      <c r="APU52" s="4">
        <v>0</v>
      </c>
      <c r="APV52" s="4">
        <v>0</v>
      </c>
      <c r="APW52" s="4">
        <v>0</v>
      </c>
      <c r="APX52" s="4">
        <v>0</v>
      </c>
      <c r="APY52" s="4">
        <v>0</v>
      </c>
      <c r="APZ52" s="4">
        <v>0</v>
      </c>
      <c r="AQA52" s="4">
        <v>0</v>
      </c>
      <c r="AQB52" s="4">
        <v>0</v>
      </c>
      <c r="AQC52" s="4">
        <v>0</v>
      </c>
      <c r="AQD52" s="4">
        <v>0</v>
      </c>
      <c r="AQE52" s="4">
        <v>0</v>
      </c>
      <c r="AQF52" s="4">
        <v>0</v>
      </c>
      <c r="AQG52" s="4">
        <v>0</v>
      </c>
      <c r="AQH52" s="4">
        <v>0</v>
      </c>
      <c r="AQI52" s="4">
        <v>0</v>
      </c>
      <c r="AQJ52" s="4">
        <v>0</v>
      </c>
      <c r="AQK52" s="4">
        <v>0</v>
      </c>
      <c r="AQL52" s="4">
        <v>0</v>
      </c>
      <c r="AQM52" s="4">
        <v>0</v>
      </c>
      <c r="AQN52" s="4">
        <v>0</v>
      </c>
      <c r="AQO52" s="4">
        <v>0</v>
      </c>
      <c r="AQP52" s="4">
        <v>0</v>
      </c>
      <c r="AQQ52" s="4">
        <v>0</v>
      </c>
      <c r="AQR52" s="4">
        <v>0</v>
      </c>
      <c r="AQS52" s="4">
        <v>0</v>
      </c>
      <c r="AQT52" s="4">
        <v>0</v>
      </c>
      <c r="AQU52" s="4">
        <v>0</v>
      </c>
      <c r="AQV52" s="4">
        <v>0</v>
      </c>
      <c r="AQW52" s="4">
        <v>0</v>
      </c>
      <c r="AQX52" s="4">
        <v>0</v>
      </c>
      <c r="AQY52" s="4">
        <v>0</v>
      </c>
      <c r="AQZ52" s="4">
        <v>0</v>
      </c>
      <c r="ARA52" s="4">
        <v>0</v>
      </c>
      <c r="ARB52" s="4">
        <v>0</v>
      </c>
      <c r="ARC52" s="4">
        <v>0</v>
      </c>
      <c r="ARD52" s="4">
        <v>0</v>
      </c>
      <c r="ARE52" s="4">
        <v>0</v>
      </c>
      <c r="ARF52" s="4">
        <v>0</v>
      </c>
      <c r="ARG52" s="4">
        <v>0</v>
      </c>
      <c r="ARH52" s="4">
        <v>0</v>
      </c>
      <c r="ARI52" s="4">
        <v>0</v>
      </c>
      <c r="ARJ52" s="4">
        <v>0</v>
      </c>
      <c r="ARK52" s="4">
        <v>0</v>
      </c>
      <c r="ARL52" s="4">
        <v>0</v>
      </c>
      <c r="ARM52" s="4">
        <v>0</v>
      </c>
      <c r="ARN52" s="4">
        <v>0</v>
      </c>
      <c r="ARO52" s="4">
        <v>0</v>
      </c>
      <c r="ARP52" s="4">
        <v>0</v>
      </c>
      <c r="ARQ52" s="4">
        <v>0</v>
      </c>
      <c r="ARR52" s="4">
        <v>0</v>
      </c>
      <c r="ARS52" s="4">
        <v>0</v>
      </c>
      <c r="ART52" s="4">
        <v>0</v>
      </c>
      <c r="ARU52" s="4">
        <v>0</v>
      </c>
      <c r="ARV52" s="4">
        <v>0</v>
      </c>
      <c r="ARW52" s="4">
        <v>0</v>
      </c>
      <c r="ARX52" s="4">
        <v>0</v>
      </c>
      <c r="ARY52" s="4">
        <v>0</v>
      </c>
      <c r="ARZ52" s="4">
        <v>0</v>
      </c>
      <c r="ASA52" s="4">
        <v>0</v>
      </c>
      <c r="ASB52" s="4">
        <v>0</v>
      </c>
      <c r="ASC52" s="4">
        <v>0</v>
      </c>
      <c r="ASD52" s="4">
        <v>0</v>
      </c>
      <c r="ASE52" s="4">
        <v>0</v>
      </c>
      <c r="ASF52" s="4">
        <v>0</v>
      </c>
      <c r="ASG52" s="4">
        <v>0</v>
      </c>
      <c r="ASH52" s="4">
        <v>0</v>
      </c>
      <c r="ASI52" s="4">
        <v>0</v>
      </c>
      <c r="ASJ52" s="4">
        <v>0</v>
      </c>
      <c r="ASK52" s="4">
        <v>0</v>
      </c>
      <c r="ASL52" s="4">
        <v>0</v>
      </c>
      <c r="ASM52" s="4">
        <v>0</v>
      </c>
      <c r="ASN52" s="4">
        <v>0</v>
      </c>
      <c r="ASO52" s="4">
        <v>0</v>
      </c>
      <c r="ASP52" s="4">
        <v>0</v>
      </c>
      <c r="ASQ52" s="4">
        <v>0</v>
      </c>
      <c r="ASR52" s="4">
        <v>0</v>
      </c>
      <c r="ASS52" s="4">
        <v>0</v>
      </c>
      <c r="AST52" s="4">
        <v>0</v>
      </c>
      <c r="ASU52" s="4">
        <v>0</v>
      </c>
      <c r="ASV52" s="4">
        <v>0</v>
      </c>
      <c r="ASW52" s="4">
        <v>0</v>
      </c>
      <c r="ASX52" s="4">
        <v>0</v>
      </c>
      <c r="ASY52" s="4">
        <v>0</v>
      </c>
      <c r="ASZ52" s="4">
        <v>0</v>
      </c>
      <c r="ATA52" s="4">
        <v>0</v>
      </c>
      <c r="ATB52" s="4">
        <v>0</v>
      </c>
      <c r="ATC52" s="4">
        <v>0</v>
      </c>
      <c r="ATD52" s="4">
        <v>0</v>
      </c>
      <c r="ATE52" s="4">
        <v>0</v>
      </c>
      <c r="ATF52" s="4">
        <v>0</v>
      </c>
      <c r="ATG52" s="4">
        <v>0</v>
      </c>
      <c r="ATH52" s="4">
        <v>0</v>
      </c>
      <c r="ATI52" s="4">
        <v>0</v>
      </c>
      <c r="ATJ52" s="4">
        <v>0</v>
      </c>
      <c r="ATK52" s="4">
        <v>0</v>
      </c>
      <c r="ATL52" s="4">
        <v>0</v>
      </c>
      <c r="ATM52" s="4">
        <v>0</v>
      </c>
      <c r="ATN52" s="4">
        <v>0</v>
      </c>
      <c r="ATO52" s="4">
        <v>0</v>
      </c>
      <c r="ATP52" s="4">
        <v>0</v>
      </c>
      <c r="ATQ52" s="4">
        <v>0</v>
      </c>
      <c r="ATR52" s="4">
        <v>0</v>
      </c>
      <c r="ATS52" s="4">
        <v>0</v>
      </c>
      <c r="ATT52" s="4">
        <v>0</v>
      </c>
      <c r="ATU52" s="4">
        <v>0</v>
      </c>
      <c r="ATV52" s="4">
        <v>0</v>
      </c>
      <c r="ATW52" s="4">
        <v>0</v>
      </c>
      <c r="ATX52" s="4">
        <v>0</v>
      </c>
      <c r="ATY52" s="4">
        <v>0</v>
      </c>
      <c r="ATZ52" s="4">
        <v>0</v>
      </c>
      <c r="AUA52" s="4">
        <v>0</v>
      </c>
      <c r="AUB52" s="4">
        <v>0</v>
      </c>
      <c r="AUC52" s="4">
        <v>0</v>
      </c>
      <c r="AUD52" s="4">
        <v>0</v>
      </c>
      <c r="AUE52" s="4">
        <v>0</v>
      </c>
      <c r="AUF52" s="4">
        <v>0</v>
      </c>
      <c r="AUG52" s="4">
        <v>0</v>
      </c>
      <c r="AUH52" s="4">
        <v>0</v>
      </c>
      <c r="AUI52" s="4">
        <v>0</v>
      </c>
      <c r="AUJ52" s="4">
        <v>0</v>
      </c>
      <c r="AUK52" s="4">
        <v>0</v>
      </c>
      <c r="AUL52" s="4">
        <v>0</v>
      </c>
      <c r="AUM52" s="4">
        <v>0</v>
      </c>
      <c r="AUN52" s="4">
        <v>0</v>
      </c>
      <c r="AUO52" s="4">
        <v>0</v>
      </c>
      <c r="AUP52" s="4">
        <v>0</v>
      </c>
      <c r="AUQ52" s="4">
        <v>0</v>
      </c>
      <c r="AUR52" s="4">
        <v>0</v>
      </c>
      <c r="AUS52" s="4">
        <v>0</v>
      </c>
      <c r="AUT52" s="4">
        <v>0</v>
      </c>
      <c r="AUU52" s="4">
        <v>0</v>
      </c>
      <c r="AUV52" s="4">
        <v>0</v>
      </c>
      <c r="AUW52" s="4">
        <v>0</v>
      </c>
      <c r="AUX52" s="4">
        <v>0</v>
      </c>
      <c r="AUY52" s="4">
        <v>0</v>
      </c>
      <c r="AUZ52" s="4">
        <v>0</v>
      </c>
      <c r="AVA52" s="4">
        <v>0</v>
      </c>
      <c r="AVB52" s="4">
        <v>0</v>
      </c>
      <c r="AVC52" s="4">
        <v>0</v>
      </c>
      <c r="AVD52" s="4">
        <v>0</v>
      </c>
      <c r="AVE52" s="4">
        <v>0</v>
      </c>
      <c r="AVF52" s="4">
        <v>0</v>
      </c>
      <c r="AVG52" s="4">
        <v>0</v>
      </c>
      <c r="AVH52" s="4">
        <v>0</v>
      </c>
      <c r="AVI52" s="4">
        <v>0</v>
      </c>
      <c r="AVJ52" s="4">
        <v>0</v>
      </c>
      <c r="AVK52" s="4">
        <v>0</v>
      </c>
      <c r="AVL52" s="4">
        <v>0</v>
      </c>
      <c r="AVM52" s="4">
        <v>6</v>
      </c>
      <c r="AVN52" s="4">
        <v>90</v>
      </c>
      <c r="AVO52" s="4">
        <v>15</v>
      </c>
      <c r="AVP52" s="4">
        <v>14</v>
      </c>
      <c r="AVQ52" s="4">
        <v>3</v>
      </c>
      <c r="AVR52" s="4">
        <v>0</v>
      </c>
      <c r="AVS52" s="4">
        <v>0</v>
      </c>
      <c r="AVT52" s="4">
        <v>12</v>
      </c>
      <c r="AVU52" s="4">
        <v>2</v>
      </c>
      <c r="AVV52" s="4">
        <v>1</v>
      </c>
      <c r="AVW52" s="4">
        <v>0</v>
      </c>
      <c r="AVX52" s="4">
        <v>330</v>
      </c>
      <c r="AVY52" s="4">
        <v>371</v>
      </c>
      <c r="AVZ52" s="4">
        <v>0</v>
      </c>
      <c r="AWA52" s="4">
        <v>39</v>
      </c>
      <c r="AWB52" s="4">
        <v>3</v>
      </c>
      <c r="AWC52" s="4" t="s">
        <v>1676</v>
      </c>
      <c r="AWD52" s="4">
        <v>10</v>
      </c>
      <c r="AWE52" s="4" t="s">
        <v>1676</v>
      </c>
      <c r="AWF52" s="4">
        <v>9</v>
      </c>
      <c r="AWG52" s="4">
        <v>18</v>
      </c>
      <c r="AWH52" s="4">
        <v>5</v>
      </c>
      <c r="AWI52" s="4">
        <v>0</v>
      </c>
      <c r="AWJ52" s="4">
        <v>0</v>
      </c>
      <c r="AWK52" s="4">
        <v>0</v>
      </c>
      <c r="AWL52" s="4">
        <v>0</v>
      </c>
      <c r="AWM52" s="4">
        <v>0</v>
      </c>
      <c r="AWN52" s="4">
        <v>0</v>
      </c>
      <c r="AWO52" s="4">
        <v>0</v>
      </c>
      <c r="AWP52" s="4">
        <v>0</v>
      </c>
      <c r="AWQ52" s="4">
        <v>1.07</v>
      </c>
      <c r="AWR52" s="4">
        <v>0</v>
      </c>
      <c r="AWS52" s="4">
        <v>0</v>
      </c>
      <c r="AWT52" s="4">
        <v>0</v>
      </c>
      <c r="AWU52" s="4">
        <v>0</v>
      </c>
      <c r="AWV52" s="4">
        <v>0</v>
      </c>
      <c r="AWW52" s="4">
        <v>0</v>
      </c>
      <c r="AWX52" s="4">
        <v>0</v>
      </c>
      <c r="AWY52" s="4">
        <v>0</v>
      </c>
      <c r="AWZ52" s="4">
        <v>3</v>
      </c>
      <c r="AXA52" s="4">
        <v>4</v>
      </c>
      <c r="AXB52" s="4">
        <v>0</v>
      </c>
      <c r="AXC52" s="4">
        <v>0</v>
      </c>
      <c r="AXD52" s="4">
        <v>0</v>
      </c>
      <c r="AXE52" s="4">
        <v>0</v>
      </c>
      <c r="AXF52" s="4">
        <v>0</v>
      </c>
      <c r="AXG52" s="4">
        <v>0</v>
      </c>
      <c r="AXH52" s="4">
        <v>0</v>
      </c>
      <c r="AXI52" s="4">
        <v>0</v>
      </c>
      <c r="AXJ52" s="4">
        <v>0</v>
      </c>
      <c r="AXK52" s="4">
        <v>0</v>
      </c>
      <c r="AXL52" s="4">
        <v>0</v>
      </c>
      <c r="AXM52" s="4">
        <v>0</v>
      </c>
      <c r="AXN52" s="4">
        <v>0</v>
      </c>
      <c r="AXO52" s="4">
        <v>0</v>
      </c>
      <c r="AXP52" s="4">
        <v>0</v>
      </c>
      <c r="AXQ52" s="4">
        <v>0</v>
      </c>
      <c r="AXR52" s="4">
        <v>0</v>
      </c>
      <c r="AXS52" s="4">
        <v>0</v>
      </c>
      <c r="AXT52" s="4">
        <v>0</v>
      </c>
      <c r="AXU52" s="4">
        <v>0</v>
      </c>
      <c r="AXV52" s="4">
        <v>0</v>
      </c>
      <c r="AXW52" s="4">
        <v>0</v>
      </c>
      <c r="AXX52" s="4">
        <v>0</v>
      </c>
      <c r="AXY52" s="4">
        <v>0</v>
      </c>
      <c r="AXZ52" s="4">
        <v>0</v>
      </c>
      <c r="AYA52" s="4">
        <v>0</v>
      </c>
      <c r="AYB52" s="4">
        <v>0</v>
      </c>
      <c r="AYC52" s="4">
        <v>0</v>
      </c>
      <c r="AYD52" s="4">
        <v>0</v>
      </c>
      <c r="AYE52" s="4">
        <v>0</v>
      </c>
      <c r="AYF52" s="4">
        <v>0</v>
      </c>
      <c r="AYG52" s="4">
        <v>0</v>
      </c>
      <c r="AYH52" s="4">
        <v>0</v>
      </c>
      <c r="AYI52" s="4">
        <v>0</v>
      </c>
      <c r="AYJ52" s="4">
        <v>0</v>
      </c>
      <c r="AYK52" s="4">
        <v>0</v>
      </c>
      <c r="AYL52" s="4">
        <v>0</v>
      </c>
      <c r="AYM52" s="4">
        <v>0</v>
      </c>
      <c r="AYN52" s="4">
        <v>0</v>
      </c>
      <c r="AYO52" s="4">
        <v>0</v>
      </c>
      <c r="AYP52" s="4">
        <v>0</v>
      </c>
      <c r="AYQ52" s="4">
        <v>0</v>
      </c>
      <c r="AYR52" s="4">
        <v>0</v>
      </c>
      <c r="AYS52" s="4">
        <v>0</v>
      </c>
      <c r="AYT52" s="4">
        <v>1</v>
      </c>
      <c r="AYU52" s="4">
        <v>0</v>
      </c>
      <c r="AYV52" s="4">
        <v>0</v>
      </c>
      <c r="AYW52" s="4">
        <v>0</v>
      </c>
      <c r="AYX52" s="4">
        <v>0</v>
      </c>
      <c r="AYY52" s="4">
        <v>0</v>
      </c>
      <c r="AYZ52" s="4">
        <v>0</v>
      </c>
      <c r="AZA52" s="4">
        <v>0</v>
      </c>
      <c r="AZB52" s="4">
        <v>1</v>
      </c>
      <c r="AZC52" s="4">
        <v>0</v>
      </c>
      <c r="AZD52" s="4">
        <v>0</v>
      </c>
      <c r="AZE52" s="4">
        <v>0</v>
      </c>
      <c r="AZF52" s="4">
        <v>0</v>
      </c>
      <c r="AZG52" s="4">
        <v>0</v>
      </c>
      <c r="AZH52" s="4">
        <v>0</v>
      </c>
      <c r="AZI52" s="4">
        <v>0</v>
      </c>
      <c r="AZJ52" s="4">
        <v>0</v>
      </c>
      <c r="AZK52" s="4">
        <v>0</v>
      </c>
      <c r="AZL52" s="4">
        <v>0</v>
      </c>
      <c r="AZM52" s="4">
        <v>0</v>
      </c>
      <c r="AZN52" s="4">
        <v>0</v>
      </c>
      <c r="AZO52" s="4">
        <v>0</v>
      </c>
      <c r="AZP52" s="4">
        <v>0</v>
      </c>
      <c r="AZQ52" s="4">
        <v>0</v>
      </c>
      <c r="AZR52" s="4">
        <v>0</v>
      </c>
      <c r="AZS52" s="4">
        <v>0</v>
      </c>
      <c r="AZT52" s="4">
        <v>0</v>
      </c>
      <c r="AZU52" s="4">
        <v>0</v>
      </c>
      <c r="AZV52" s="4">
        <v>0</v>
      </c>
      <c r="AZW52" s="4">
        <v>0</v>
      </c>
      <c r="AZX52" s="4">
        <v>0</v>
      </c>
      <c r="AZY52" s="4">
        <v>0</v>
      </c>
      <c r="AZZ52" s="4">
        <v>0</v>
      </c>
      <c r="BAA52" s="4">
        <v>0</v>
      </c>
      <c r="BAB52" s="4">
        <v>0</v>
      </c>
      <c r="BAC52" s="4">
        <v>0</v>
      </c>
      <c r="BAD52" s="4">
        <v>0</v>
      </c>
      <c r="BAE52" s="4">
        <v>0</v>
      </c>
      <c r="BAF52" s="4">
        <v>0</v>
      </c>
      <c r="BAG52" s="4">
        <v>0</v>
      </c>
      <c r="BAH52" s="4">
        <v>0</v>
      </c>
      <c r="BAI52" s="4">
        <v>0</v>
      </c>
      <c r="BAJ52" s="4">
        <v>0</v>
      </c>
      <c r="BAK52" s="4">
        <v>0</v>
      </c>
      <c r="BAL52" s="4">
        <v>0</v>
      </c>
      <c r="BAM52" s="4">
        <v>0</v>
      </c>
      <c r="BAN52" s="4">
        <v>0</v>
      </c>
      <c r="BAO52" s="4">
        <v>0</v>
      </c>
      <c r="BAP52" s="4">
        <v>0</v>
      </c>
      <c r="BAQ52" s="4">
        <v>0</v>
      </c>
      <c r="BAR52" s="4">
        <v>1</v>
      </c>
      <c r="BAS52" s="4">
        <v>0</v>
      </c>
      <c r="BAT52" s="4">
        <v>0</v>
      </c>
      <c r="BAU52" s="4">
        <v>0</v>
      </c>
      <c r="BAV52" s="4">
        <v>0</v>
      </c>
      <c r="BAW52" s="4">
        <v>0</v>
      </c>
      <c r="BAX52" s="4">
        <v>0</v>
      </c>
      <c r="BAY52" s="4">
        <v>1</v>
      </c>
      <c r="BAZ52" s="4">
        <v>0</v>
      </c>
      <c r="BBA52" s="4">
        <v>0</v>
      </c>
      <c r="BBB52" s="4">
        <v>0</v>
      </c>
      <c r="BBC52" s="4">
        <v>0</v>
      </c>
      <c r="BBD52" s="4">
        <v>2</v>
      </c>
      <c r="BBE52" s="4">
        <v>0</v>
      </c>
      <c r="BBF52" s="4">
        <v>6</v>
      </c>
      <c r="BBG52" s="4">
        <v>0</v>
      </c>
      <c r="BBH52" s="4">
        <v>0</v>
      </c>
      <c r="BBI52" s="4">
        <v>0</v>
      </c>
      <c r="BBJ52" s="4">
        <v>0</v>
      </c>
      <c r="BBK52" s="4">
        <v>0</v>
      </c>
      <c r="BBL52" s="4">
        <v>0</v>
      </c>
      <c r="BBM52" s="4">
        <v>0</v>
      </c>
      <c r="BBN52" s="4">
        <v>0</v>
      </c>
      <c r="BBO52" s="4">
        <v>0</v>
      </c>
      <c r="BBP52" s="4">
        <v>0</v>
      </c>
      <c r="BBQ52" s="4">
        <v>6</v>
      </c>
      <c r="BBR52" s="4">
        <v>0</v>
      </c>
      <c r="BBS52" s="4">
        <v>0</v>
      </c>
      <c r="BBT52" s="4">
        <v>0</v>
      </c>
      <c r="BBU52" s="4">
        <v>0</v>
      </c>
      <c r="BBV52" s="4">
        <v>0</v>
      </c>
      <c r="BBW52" s="4">
        <v>0</v>
      </c>
      <c r="BBX52" s="4">
        <v>0</v>
      </c>
      <c r="BBY52" s="4">
        <v>0</v>
      </c>
      <c r="BBZ52" s="4">
        <v>0</v>
      </c>
      <c r="BCA52" s="4">
        <v>0</v>
      </c>
      <c r="BCB52" s="4">
        <v>0</v>
      </c>
      <c r="BCC52" s="4">
        <v>0</v>
      </c>
      <c r="BCD52" s="4">
        <v>0</v>
      </c>
      <c r="BCE52" s="4">
        <v>0</v>
      </c>
      <c r="BCF52" s="4">
        <v>0</v>
      </c>
      <c r="BCG52" s="4">
        <v>0</v>
      </c>
      <c r="BCH52" s="4">
        <v>0</v>
      </c>
      <c r="BCI52" s="4">
        <v>0</v>
      </c>
      <c r="BCJ52" s="4">
        <v>0</v>
      </c>
      <c r="BCK52" s="4">
        <v>0</v>
      </c>
      <c r="BCL52" s="4">
        <v>0</v>
      </c>
      <c r="BCM52" s="4">
        <v>0</v>
      </c>
      <c r="BCN52" s="4">
        <v>0</v>
      </c>
      <c r="BCO52" s="4">
        <v>0</v>
      </c>
      <c r="BCP52" s="4">
        <v>0</v>
      </c>
      <c r="BCQ52" s="4">
        <v>0</v>
      </c>
      <c r="BCR52" s="4">
        <v>0</v>
      </c>
      <c r="BCS52" s="4">
        <v>0</v>
      </c>
      <c r="BCT52" s="4">
        <v>0</v>
      </c>
      <c r="BCU52" s="4">
        <v>0</v>
      </c>
      <c r="BCV52" s="4">
        <v>0</v>
      </c>
      <c r="BCW52" s="4">
        <v>0</v>
      </c>
      <c r="BCX52" s="4">
        <v>0</v>
      </c>
      <c r="BCY52" s="4">
        <v>0</v>
      </c>
      <c r="BCZ52" s="4">
        <v>0</v>
      </c>
      <c r="BDA52" s="4">
        <v>0</v>
      </c>
      <c r="BDB52" s="4">
        <v>0</v>
      </c>
      <c r="BDC52" s="4">
        <v>0</v>
      </c>
      <c r="BDD52" s="4">
        <v>0</v>
      </c>
      <c r="BDE52" s="4">
        <v>1</v>
      </c>
      <c r="BDF52" s="4">
        <v>0</v>
      </c>
      <c r="BDG52" s="4">
        <v>0</v>
      </c>
      <c r="BDH52" s="4">
        <v>0</v>
      </c>
      <c r="BDI52" s="4">
        <v>0</v>
      </c>
      <c r="BDJ52" s="4">
        <v>0</v>
      </c>
      <c r="BDK52" s="4">
        <v>0</v>
      </c>
      <c r="BDL52" s="4">
        <v>0</v>
      </c>
      <c r="BDM52" s="4">
        <v>0</v>
      </c>
      <c r="BDN52" s="4">
        <v>0</v>
      </c>
      <c r="BDO52" s="4">
        <v>0</v>
      </c>
      <c r="BDP52" s="4">
        <v>1</v>
      </c>
      <c r="BDQ52" s="4">
        <v>0</v>
      </c>
      <c r="BDR52" s="4">
        <v>0</v>
      </c>
      <c r="BDS52" s="4">
        <v>0</v>
      </c>
      <c r="BDT52" s="4">
        <v>6</v>
      </c>
      <c r="BDU52" s="4">
        <v>0</v>
      </c>
      <c r="BDV52" s="4">
        <v>0</v>
      </c>
      <c r="BDW52" s="4">
        <v>5</v>
      </c>
      <c r="BDX52" s="4">
        <v>0</v>
      </c>
      <c r="BDY52" s="4">
        <v>0</v>
      </c>
      <c r="BDZ52" s="4">
        <v>0</v>
      </c>
      <c r="BEA52" s="4">
        <v>0</v>
      </c>
      <c r="BEB52" s="4">
        <v>0</v>
      </c>
      <c r="BEC52" s="4">
        <v>0</v>
      </c>
      <c r="BED52" s="4">
        <v>0</v>
      </c>
      <c r="BEE52" s="4">
        <v>0</v>
      </c>
      <c r="BEF52" s="4">
        <v>0</v>
      </c>
      <c r="BEG52" s="4">
        <v>0</v>
      </c>
      <c r="BEH52" s="4">
        <v>0</v>
      </c>
      <c r="BEI52" s="4">
        <v>0</v>
      </c>
      <c r="BEJ52" s="4">
        <v>0</v>
      </c>
      <c r="BEK52" s="4">
        <v>0</v>
      </c>
      <c r="BEL52" s="4">
        <v>0</v>
      </c>
      <c r="BEM52" s="4">
        <v>0</v>
      </c>
      <c r="BEN52" s="4">
        <v>0</v>
      </c>
      <c r="BEO52" s="4">
        <v>0</v>
      </c>
      <c r="BEP52" s="4">
        <v>0</v>
      </c>
      <c r="BEQ52" s="4">
        <v>0</v>
      </c>
      <c r="BER52" s="4">
        <v>0</v>
      </c>
      <c r="BES52" s="4">
        <v>0</v>
      </c>
      <c r="BET52" s="4">
        <v>0</v>
      </c>
      <c r="BEU52" s="4">
        <v>0</v>
      </c>
      <c r="BEV52" s="4">
        <v>0</v>
      </c>
      <c r="BEW52" s="4">
        <v>0</v>
      </c>
      <c r="BEX52" s="4">
        <v>0</v>
      </c>
      <c r="BEY52" s="4">
        <v>0</v>
      </c>
      <c r="BEZ52" s="4">
        <v>0</v>
      </c>
      <c r="BFA52" s="4">
        <v>0</v>
      </c>
      <c r="BFB52" s="4">
        <v>0</v>
      </c>
      <c r="BFC52" s="4">
        <v>1</v>
      </c>
      <c r="BFD52" s="4">
        <v>0</v>
      </c>
      <c r="BFE52" s="4">
        <v>0</v>
      </c>
      <c r="BFF52" s="4">
        <v>0</v>
      </c>
      <c r="BFG52" s="4">
        <v>0</v>
      </c>
      <c r="BFH52" s="4">
        <v>0</v>
      </c>
      <c r="BFI52" s="4">
        <v>0</v>
      </c>
      <c r="BFJ52" s="4">
        <v>0</v>
      </c>
      <c r="BFK52" s="4">
        <v>0</v>
      </c>
      <c r="BFL52" s="4">
        <v>0</v>
      </c>
      <c r="BFM52" s="4">
        <v>0</v>
      </c>
      <c r="BFN52" s="4">
        <v>0</v>
      </c>
      <c r="BFO52" s="4">
        <v>0</v>
      </c>
      <c r="BFP52" s="4">
        <v>0</v>
      </c>
      <c r="BFQ52" s="4">
        <v>0</v>
      </c>
      <c r="BFR52" s="4">
        <v>0</v>
      </c>
      <c r="BFS52" s="4">
        <v>0</v>
      </c>
      <c r="BFT52" s="4">
        <v>0</v>
      </c>
      <c r="BFU52" s="4">
        <v>0</v>
      </c>
      <c r="BFV52" s="4">
        <v>0</v>
      </c>
      <c r="BFW52" s="4">
        <v>0</v>
      </c>
      <c r="BFX52" s="4">
        <v>0</v>
      </c>
      <c r="BFY52" s="4">
        <v>0</v>
      </c>
      <c r="BFZ52" s="4">
        <v>0</v>
      </c>
      <c r="BGA52" s="4">
        <v>0</v>
      </c>
      <c r="BGB52" s="4">
        <v>0</v>
      </c>
      <c r="BGC52" s="4">
        <v>0</v>
      </c>
      <c r="BGD52" s="4">
        <v>0</v>
      </c>
      <c r="BGE52" s="4">
        <v>0</v>
      </c>
      <c r="BGF52" s="4">
        <v>0</v>
      </c>
      <c r="BGG52" s="4">
        <v>0</v>
      </c>
      <c r="BGH52" s="4">
        <v>0</v>
      </c>
      <c r="BGI52" s="4">
        <v>0</v>
      </c>
      <c r="BGJ52" s="4">
        <v>0</v>
      </c>
      <c r="BGK52" s="4">
        <v>0</v>
      </c>
      <c r="BGL52" s="4">
        <v>0</v>
      </c>
      <c r="BGM52" s="4">
        <v>0</v>
      </c>
      <c r="BGN52" s="4">
        <v>0</v>
      </c>
      <c r="BGO52" s="4">
        <v>0</v>
      </c>
      <c r="BGP52" s="4">
        <v>0</v>
      </c>
      <c r="BGQ52" s="4">
        <v>0</v>
      </c>
      <c r="BGR52" s="4">
        <v>0</v>
      </c>
      <c r="BGS52" s="4">
        <v>0</v>
      </c>
      <c r="BGT52" s="4">
        <v>0</v>
      </c>
      <c r="BGU52" s="4">
        <v>0</v>
      </c>
      <c r="BGV52" s="4">
        <v>0</v>
      </c>
      <c r="BGW52" s="4">
        <v>0</v>
      </c>
      <c r="BGX52" s="4">
        <v>0</v>
      </c>
      <c r="BGY52" s="4">
        <v>0</v>
      </c>
      <c r="BGZ52" s="4">
        <v>0</v>
      </c>
      <c r="BHA52" s="4">
        <v>0</v>
      </c>
      <c r="BHB52" s="4">
        <v>0</v>
      </c>
      <c r="BHC52" s="4">
        <v>0</v>
      </c>
      <c r="BHD52" s="4">
        <v>0</v>
      </c>
      <c r="BHE52" s="4">
        <v>0</v>
      </c>
      <c r="BHF52" s="4">
        <v>0</v>
      </c>
      <c r="BHG52" s="4">
        <v>0</v>
      </c>
      <c r="BHH52" s="4">
        <v>0</v>
      </c>
      <c r="BHI52" s="4">
        <v>0</v>
      </c>
      <c r="BHJ52" s="4">
        <v>0</v>
      </c>
      <c r="BHK52" s="4">
        <v>0</v>
      </c>
      <c r="BHL52" s="4">
        <v>0</v>
      </c>
      <c r="BHM52" s="4">
        <v>0</v>
      </c>
      <c r="BHN52" s="4">
        <v>0</v>
      </c>
      <c r="BHO52" s="4">
        <v>0</v>
      </c>
      <c r="BHP52" s="4">
        <v>0</v>
      </c>
      <c r="BHQ52" s="4">
        <v>0</v>
      </c>
      <c r="BHR52" s="4">
        <v>0</v>
      </c>
      <c r="BHS52" s="4">
        <v>0</v>
      </c>
      <c r="BHT52" s="4">
        <v>0</v>
      </c>
      <c r="BHU52" s="4">
        <v>0</v>
      </c>
      <c r="BHV52" s="4">
        <v>0</v>
      </c>
      <c r="BHW52" s="4">
        <v>0</v>
      </c>
      <c r="BHX52" s="4">
        <v>0</v>
      </c>
      <c r="BHY52" s="4">
        <v>0</v>
      </c>
      <c r="BHZ52" s="4">
        <v>0</v>
      </c>
      <c r="BIA52" s="4">
        <v>0</v>
      </c>
      <c r="BIB52" s="4">
        <v>0</v>
      </c>
      <c r="BIC52" s="4">
        <v>0</v>
      </c>
      <c r="BID52" s="4">
        <v>0</v>
      </c>
      <c r="BIE52" s="4">
        <v>0</v>
      </c>
      <c r="BIF52" s="4">
        <v>0</v>
      </c>
      <c r="BIG52" s="4">
        <v>0</v>
      </c>
      <c r="BIH52" s="4">
        <v>0</v>
      </c>
      <c r="BII52" s="4">
        <v>0</v>
      </c>
      <c r="BIJ52" s="4">
        <v>0</v>
      </c>
      <c r="BIK52" s="4">
        <v>0</v>
      </c>
      <c r="BIL52" s="4">
        <v>0</v>
      </c>
      <c r="BIM52" s="4">
        <v>0</v>
      </c>
      <c r="BIN52" s="4">
        <v>0</v>
      </c>
      <c r="BIO52" s="4">
        <v>0</v>
      </c>
      <c r="BIP52" s="4">
        <v>0</v>
      </c>
      <c r="BIQ52" s="4">
        <v>0</v>
      </c>
      <c r="BIR52" s="4">
        <v>0</v>
      </c>
      <c r="BIS52" s="4">
        <v>0</v>
      </c>
      <c r="BIT52" s="4">
        <v>0</v>
      </c>
      <c r="BIU52" s="4">
        <v>0</v>
      </c>
      <c r="BIV52" s="4">
        <v>0</v>
      </c>
      <c r="BIW52" s="4">
        <v>0</v>
      </c>
      <c r="BIX52" s="4">
        <v>0</v>
      </c>
      <c r="BIY52" s="4">
        <v>0</v>
      </c>
      <c r="BIZ52" s="4">
        <v>0</v>
      </c>
      <c r="BJA52" s="4">
        <v>0</v>
      </c>
      <c r="BJB52" s="4">
        <v>0</v>
      </c>
      <c r="BJC52" s="4">
        <v>0</v>
      </c>
      <c r="BJD52" s="4">
        <v>0</v>
      </c>
      <c r="BJE52" s="4">
        <v>0</v>
      </c>
      <c r="BJF52" s="4">
        <v>0</v>
      </c>
      <c r="BJG52" s="4">
        <v>0</v>
      </c>
      <c r="BJH52" s="4">
        <v>0</v>
      </c>
      <c r="BJI52" s="4">
        <v>0</v>
      </c>
      <c r="BJJ52" s="4">
        <v>0</v>
      </c>
      <c r="BJK52" s="4">
        <v>0</v>
      </c>
      <c r="BJL52" s="4">
        <v>0</v>
      </c>
      <c r="BJM52" s="4">
        <v>0</v>
      </c>
      <c r="BJN52" s="4">
        <v>0</v>
      </c>
      <c r="BJO52" s="4">
        <v>0</v>
      </c>
      <c r="BJP52" s="4">
        <v>0</v>
      </c>
      <c r="BJQ52" s="4">
        <v>0</v>
      </c>
      <c r="BJR52" s="4">
        <v>0</v>
      </c>
      <c r="BJS52" s="4">
        <v>0</v>
      </c>
      <c r="BJT52" s="4">
        <v>0</v>
      </c>
      <c r="BJU52" s="4">
        <v>0</v>
      </c>
      <c r="BJV52" s="4">
        <v>0</v>
      </c>
      <c r="BJW52" s="4">
        <v>0</v>
      </c>
      <c r="BJX52" s="4">
        <v>0</v>
      </c>
      <c r="BJY52" s="4">
        <v>0</v>
      </c>
      <c r="BJZ52" s="4">
        <v>0</v>
      </c>
      <c r="BKA52" s="4">
        <v>0</v>
      </c>
      <c r="BKB52" s="4">
        <v>0</v>
      </c>
      <c r="BKC52" s="4">
        <v>0</v>
      </c>
      <c r="BKD52" s="4">
        <v>0</v>
      </c>
      <c r="BKE52" s="4">
        <v>0</v>
      </c>
      <c r="BKF52" s="4">
        <v>0</v>
      </c>
      <c r="BKG52" s="4">
        <v>0</v>
      </c>
      <c r="BKH52" s="4">
        <v>0</v>
      </c>
      <c r="BKI52" s="4">
        <v>0</v>
      </c>
      <c r="BKJ52" s="4">
        <v>0</v>
      </c>
      <c r="BKK52" s="4">
        <v>0</v>
      </c>
      <c r="BKL52" s="4">
        <v>0</v>
      </c>
      <c r="BKM52" s="4">
        <v>0</v>
      </c>
      <c r="BKN52" s="4">
        <v>0</v>
      </c>
      <c r="BKO52" s="4">
        <v>0</v>
      </c>
      <c r="BKP52" s="4">
        <v>0</v>
      </c>
      <c r="BKQ52" s="4">
        <v>0</v>
      </c>
      <c r="BKR52" s="4">
        <v>0</v>
      </c>
      <c r="BKS52" s="4">
        <v>0</v>
      </c>
      <c r="BKT52" s="4">
        <v>0</v>
      </c>
      <c r="BKU52" s="4">
        <v>0</v>
      </c>
      <c r="BKV52" s="4">
        <v>0</v>
      </c>
      <c r="BKW52" s="4">
        <v>0</v>
      </c>
      <c r="BKX52" s="4">
        <v>0</v>
      </c>
      <c r="BKY52" s="4">
        <v>0</v>
      </c>
      <c r="BKZ52" s="4">
        <v>0</v>
      </c>
      <c r="BLA52" s="4">
        <v>0</v>
      </c>
      <c r="BLB52" s="4">
        <v>0</v>
      </c>
      <c r="BLC52" s="4">
        <v>0</v>
      </c>
      <c r="BLD52" s="4">
        <v>0</v>
      </c>
      <c r="BLE52" s="4">
        <v>0</v>
      </c>
      <c r="BLF52" s="4">
        <v>0</v>
      </c>
      <c r="BLG52" s="4">
        <v>0</v>
      </c>
      <c r="BLH52" s="4">
        <v>0</v>
      </c>
      <c r="BLI52" s="4">
        <v>0</v>
      </c>
      <c r="BLJ52" s="4">
        <v>0</v>
      </c>
      <c r="BLK52" s="4">
        <v>0</v>
      </c>
    </row>
    <row r="53" spans="1:1675" x14ac:dyDescent="0.2">
      <c r="A53">
        <v>5</v>
      </c>
      <c r="B53">
        <v>9</v>
      </c>
      <c r="C53">
        <f t="shared" si="16"/>
        <v>80</v>
      </c>
      <c r="D53">
        <f t="shared" si="14"/>
        <v>968</v>
      </c>
      <c r="E53">
        <f t="shared" si="15"/>
        <v>52</v>
      </c>
      <c r="F53">
        <f t="shared" si="17"/>
        <v>3</v>
      </c>
      <c r="G53">
        <f t="shared" si="18"/>
        <v>3</v>
      </c>
      <c r="H53" cm="1">
        <f t="array" ref="H53">_xlfn.IFS(P53=0, 1, P53=7, 2, P53=5, 3)</f>
        <v>3</v>
      </c>
      <c r="I53" cm="1">
        <f t="array" ref="I53">_xlfn.IFS(H53=1, IF(AC53=0, P53, PO53), H53=2, IF(AC53=0, P53, AFN53), H53=3, IF(AC53=0, P53, AVM53))</f>
        <v>5</v>
      </c>
      <c r="J53" cm="1">
        <f t="array" ref="J53">_xlfn.IFS(I53=0, 1, I53=1, 0, I53=2, 7, I53=7, 2, I53=5, 6, I53=6, 5)</f>
        <v>6</v>
      </c>
      <c r="K53" t="str" cm="1">
        <f t="array" ref="K53">_xlfn.IFNA(_xlfn.IFS(P53&lt;&gt;P54, 1, A53&lt;&gt;A54, IF(P54=P53, 1)), "")</f>
        <v/>
      </c>
      <c r="L53" t="str">
        <f t="shared" si="7"/>
        <v/>
      </c>
      <c r="M53" t="s">
        <v>1765</v>
      </c>
      <c r="N53" s="4" t="s">
        <v>1752</v>
      </c>
      <c r="O53" s="4"/>
      <c r="P53" s="4">
        <v>5</v>
      </c>
      <c r="Q53" s="4">
        <v>103</v>
      </c>
      <c r="R53" s="4">
        <v>21</v>
      </c>
      <c r="S53" s="4">
        <v>10</v>
      </c>
      <c r="T53" s="4">
        <v>7</v>
      </c>
      <c r="U53" s="4">
        <v>0</v>
      </c>
      <c r="V53" s="4">
        <v>0</v>
      </c>
      <c r="W53" s="4">
        <v>16</v>
      </c>
      <c r="X53" s="4">
        <v>1</v>
      </c>
      <c r="Y53" s="4">
        <v>2</v>
      </c>
      <c r="Z53" s="4">
        <v>2</v>
      </c>
      <c r="AA53" s="4">
        <v>373</v>
      </c>
      <c r="AB53" s="4">
        <v>403</v>
      </c>
      <c r="AC53" s="4">
        <v>0</v>
      </c>
      <c r="AD53" s="4">
        <v>55</v>
      </c>
      <c r="AE53" s="4">
        <v>5</v>
      </c>
      <c r="AF53" s="4" t="s">
        <v>1680</v>
      </c>
      <c r="AG53" s="4">
        <v>11</v>
      </c>
      <c r="AH53" s="4" t="s">
        <v>1680</v>
      </c>
      <c r="AI53" s="4">
        <v>6</v>
      </c>
      <c r="AJ53" s="4">
        <v>13</v>
      </c>
      <c r="AK53" s="4">
        <v>6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2.1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7</v>
      </c>
      <c r="BD53" s="4">
        <v>6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1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2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1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1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3</v>
      </c>
      <c r="FC53" s="4">
        <v>0</v>
      </c>
      <c r="FD53" s="4">
        <v>0</v>
      </c>
      <c r="FE53" s="4">
        <v>0</v>
      </c>
      <c r="FF53" s="4">
        <v>0</v>
      </c>
      <c r="FG53" s="4">
        <v>8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11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2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1</v>
      </c>
      <c r="GQ53" s="4">
        <v>0</v>
      </c>
      <c r="GR53" s="4">
        <v>0</v>
      </c>
      <c r="GS53" s="4">
        <v>0</v>
      </c>
      <c r="GT53" s="4">
        <v>0</v>
      </c>
      <c r="GU53" s="4">
        <v>1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1</v>
      </c>
      <c r="HT53" s="4">
        <v>0</v>
      </c>
      <c r="HU53" s="4">
        <v>0</v>
      </c>
      <c r="HV53" s="4">
        <v>0</v>
      </c>
      <c r="HW53" s="4">
        <v>3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3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1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3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0</v>
      </c>
      <c r="LY53" s="4">
        <v>0</v>
      </c>
      <c r="LZ53" s="4">
        <v>0</v>
      </c>
      <c r="MA53" s="4">
        <v>0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0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0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0</v>
      </c>
      <c r="NS53" s="4">
        <v>0</v>
      </c>
      <c r="NT53" s="4">
        <v>0</v>
      </c>
      <c r="NU53" s="4">
        <v>0</v>
      </c>
      <c r="NV53" s="4">
        <v>0</v>
      </c>
      <c r="NW53" s="4">
        <v>0</v>
      </c>
      <c r="NX53" s="4">
        <v>0</v>
      </c>
      <c r="NY53" s="4">
        <v>0</v>
      </c>
      <c r="NZ53" s="4">
        <v>0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0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0</v>
      </c>
      <c r="PC53" s="4">
        <v>0</v>
      </c>
      <c r="PD53" s="4">
        <v>0</v>
      </c>
      <c r="PE53" s="4">
        <v>0</v>
      </c>
      <c r="PF53" s="4">
        <v>0</v>
      </c>
      <c r="PG53" s="4">
        <v>0</v>
      </c>
      <c r="PH53" s="4">
        <v>0</v>
      </c>
      <c r="PI53" s="4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6</v>
      </c>
      <c r="PP53" s="4">
        <v>30</v>
      </c>
      <c r="PQ53" s="4">
        <v>12</v>
      </c>
      <c r="PR53" s="4">
        <v>22</v>
      </c>
      <c r="PS53" s="4">
        <v>4</v>
      </c>
      <c r="PT53" s="4">
        <v>0</v>
      </c>
      <c r="PU53" s="4">
        <v>0</v>
      </c>
      <c r="PV53" s="4">
        <v>7</v>
      </c>
      <c r="PW53" s="4">
        <v>4</v>
      </c>
      <c r="PX53" s="4">
        <v>1</v>
      </c>
      <c r="PY53" s="4">
        <v>0</v>
      </c>
      <c r="PZ53" s="4">
        <v>341</v>
      </c>
      <c r="QA53" s="4">
        <v>403</v>
      </c>
      <c r="QB53" s="4">
        <v>1</v>
      </c>
      <c r="QC53" s="4">
        <v>35</v>
      </c>
      <c r="QD53" s="4">
        <v>2</v>
      </c>
      <c r="QE53" s="4" t="s">
        <v>1676</v>
      </c>
      <c r="QF53" s="4">
        <v>6</v>
      </c>
      <c r="QG53" s="4" t="s">
        <v>1676</v>
      </c>
      <c r="QH53" s="4">
        <v>11</v>
      </c>
      <c r="QI53" s="4">
        <v>20</v>
      </c>
      <c r="QJ53" s="4">
        <v>4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0.55000000000000004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4</v>
      </c>
      <c r="RC53" s="4">
        <v>3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0</v>
      </c>
      <c r="SH53" s="4">
        <v>0</v>
      </c>
      <c r="SI53" s="4">
        <v>0</v>
      </c>
      <c r="SJ53" s="4">
        <v>0</v>
      </c>
      <c r="SK53" s="4">
        <v>0</v>
      </c>
      <c r="SL53" s="4">
        <v>1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4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0</v>
      </c>
      <c r="TO53" s="4">
        <v>0</v>
      </c>
      <c r="TP53" s="4">
        <v>1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4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4">
        <v>0</v>
      </c>
      <c r="VE53" s="4">
        <v>0</v>
      </c>
      <c r="VF53" s="4">
        <v>1</v>
      </c>
      <c r="VG53" s="4">
        <v>0</v>
      </c>
      <c r="VH53" s="4">
        <v>3</v>
      </c>
      <c r="VI53" s="4">
        <v>0</v>
      </c>
      <c r="VJ53" s="4">
        <v>0</v>
      </c>
      <c r="VK53" s="4">
        <v>0</v>
      </c>
      <c r="VL53" s="4">
        <v>0</v>
      </c>
      <c r="VM53" s="4">
        <v>0</v>
      </c>
      <c r="VN53" s="4">
        <v>0</v>
      </c>
      <c r="VO53" s="4">
        <v>0</v>
      </c>
      <c r="VP53" s="4">
        <v>0</v>
      </c>
      <c r="VQ53" s="4">
        <v>0</v>
      </c>
      <c r="VR53" s="4">
        <v>0</v>
      </c>
      <c r="VS53" s="4">
        <v>7</v>
      </c>
      <c r="VT53" s="4">
        <v>0</v>
      </c>
      <c r="VU53" s="4">
        <v>0</v>
      </c>
      <c r="VV53" s="4">
        <v>0</v>
      </c>
      <c r="VW53" s="4">
        <v>0</v>
      </c>
      <c r="VX53" s="4">
        <v>0</v>
      </c>
      <c r="VY53" s="4">
        <v>0</v>
      </c>
      <c r="VZ53" s="4">
        <v>0</v>
      </c>
      <c r="WA53" s="4">
        <v>0</v>
      </c>
      <c r="WB53" s="4">
        <v>1</v>
      </c>
      <c r="WC53" s="4">
        <v>0</v>
      </c>
      <c r="WD53" s="4">
        <v>0</v>
      </c>
      <c r="WE53" s="4">
        <v>0</v>
      </c>
      <c r="WF53" s="4">
        <v>0</v>
      </c>
      <c r="WG53" s="4">
        <v>0</v>
      </c>
      <c r="WH53" s="4">
        <v>0</v>
      </c>
      <c r="WI53" s="4">
        <v>0</v>
      </c>
      <c r="WJ53" s="4">
        <v>0</v>
      </c>
      <c r="WK53" s="4">
        <v>0</v>
      </c>
      <c r="WL53" s="4">
        <v>0</v>
      </c>
      <c r="WM53" s="4">
        <v>0</v>
      </c>
      <c r="WN53" s="4">
        <v>0</v>
      </c>
      <c r="WO53" s="4">
        <v>0</v>
      </c>
      <c r="WP53" s="4">
        <v>0</v>
      </c>
      <c r="WQ53" s="4">
        <v>0</v>
      </c>
      <c r="WR53" s="4">
        <v>0</v>
      </c>
      <c r="WS53" s="4">
        <v>0</v>
      </c>
      <c r="WT53" s="4">
        <v>1</v>
      </c>
      <c r="WU53" s="4">
        <v>0</v>
      </c>
      <c r="WV53" s="4">
        <v>0</v>
      </c>
      <c r="WW53" s="4">
        <v>0</v>
      </c>
      <c r="WX53" s="4">
        <v>0</v>
      </c>
      <c r="WY53" s="4">
        <v>0</v>
      </c>
      <c r="WZ53" s="4">
        <v>0</v>
      </c>
      <c r="XA53" s="4">
        <v>0</v>
      </c>
      <c r="XB53" s="4">
        <v>0</v>
      </c>
      <c r="XC53" s="4">
        <v>0</v>
      </c>
      <c r="XD53" s="4">
        <v>0</v>
      </c>
      <c r="XE53" s="4">
        <v>0</v>
      </c>
      <c r="XF53" s="4">
        <v>0</v>
      </c>
      <c r="XG53" s="4">
        <v>0</v>
      </c>
      <c r="XH53" s="4">
        <v>0</v>
      </c>
      <c r="XI53" s="4">
        <v>0</v>
      </c>
      <c r="XJ53" s="4">
        <v>0</v>
      </c>
      <c r="XK53" s="4">
        <v>0</v>
      </c>
      <c r="XL53" s="4">
        <v>0</v>
      </c>
      <c r="XM53" s="4">
        <v>0</v>
      </c>
      <c r="XN53" s="4">
        <v>0</v>
      </c>
      <c r="XO53" s="4">
        <v>0</v>
      </c>
      <c r="XP53" s="4">
        <v>0</v>
      </c>
      <c r="XQ53" s="4">
        <v>0</v>
      </c>
      <c r="XR53" s="4">
        <v>1</v>
      </c>
      <c r="XS53" s="4">
        <v>0</v>
      </c>
      <c r="XT53" s="4">
        <v>0</v>
      </c>
      <c r="XU53" s="4">
        <v>0</v>
      </c>
      <c r="XV53" s="4">
        <v>4</v>
      </c>
      <c r="XW53" s="4">
        <v>0</v>
      </c>
      <c r="XX53" s="4">
        <v>0</v>
      </c>
      <c r="XY53" s="4">
        <v>0</v>
      </c>
      <c r="XZ53" s="4">
        <v>0</v>
      </c>
      <c r="YA53" s="4">
        <v>0</v>
      </c>
      <c r="YB53" s="4">
        <v>0</v>
      </c>
      <c r="YC53" s="4">
        <v>0</v>
      </c>
      <c r="YD53" s="4">
        <v>0</v>
      </c>
      <c r="YE53" s="4">
        <v>0</v>
      </c>
      <c r="YF53" s="4">
        <v>0</v>
      </c>
      <c r="YG53" s="4">
        <v>0</v>
      </c>
      <c r="YH53" s="4">
        <v>0</v>
      </c>
      <c r="YI53" s="4">
        <v>0</v>
      </c>
      <c r="YJ53" s="4">
        <v>0</v>
      </c>
      <c r="YK53" s="4">
        <v>0</v>
      </c>
      <c r="YL53" s="4">
        <v>0</v>
      </c>
      <c r="YM53" s="4">
        <v>0</v>
      </c>
      <c r="YN53" s="4">
        <v>0</v>
      </c>
      <c r="YO53" s="4">
        <v>0</v>
      </c>
      <c r="YP53" s="4">
        <v>0</v>
      </c>
      <c r="YQ53" s="4">
        <v>0</v>
      </c>
      <c r="YR53" s="4">
        <v>0</v>
      </c>
      <c r="YS53" s="4">
        <v>0</v>
      </c>
      <c r="YT53" s="4">
        <v>0</v>
      </c>
      <c r="YU53" s="4">
        <v>0</v>
      </c>
      <c r="YV53" s="4">
        <v>0</v>
      </c>
      <c r="YW53" s="4">
        <v>0</v>
      </c>
      <c r="YX53" s="4">
        <v>0</v>
      </c>
      <c r="YY53" s="4">
        <v>0</v>
      </c>
      <c r="YZ53" s="4">
        <v>0</v>
      </c>
      <c r="ZA53" s="4">
        <v>0</v>
      </c>
      <c r="ZB53" s="4">
        <v>0</v>
      </c>
      <c r="ZC53" s="4">
        <v>0</v>
      </c>
      <c r="ZD53" s="4">
        <v>0</v>
      </c>
      <c r="ZE53" s="4">
        <v>0</v>
      </c>
      <c r="ZF53" s="4">
        <v>0</v>
      </c>
      <c r="ZG53" s="4">
        <v>0</v>
      </c>
      <c r="ZH53" s="4">
        <v>0</v>
      </c>
      <c r="ZI53" s="4">
        <v>0</v>
      </c>
      <c r="ZJ53" s="4">
        <v>0</v>
      </c>
      <c r="ZK53" s="4">
        <v>0</v>
      </c>
      <c r="ZL53" s="4">
        <v>0</v>
      </c>
      <c r="ZM53" s="4">
        <v>0</v>
      </c>
      <c r="ZN53" s="4">
        <v>0</v>
      </c>
      <c r="ZO53" s="4">
        <v>0</v>
      </c>
      <c r="ZP53" s="4">
        <v>0</v>
      </c>
      <c r="ZQ53" s="4">
        <v>0</v>
      </c>
      <c r="ZR53" s="4">
        <v>0</v>
      </c>
      <c r="ZS53" s="4">
        <v>0</v>
      </c>
      <c r="ZT53" s="4">
        <v>0</v>
      </c>
      <c r="ZU53" s="4">
        <v>0</v>
      </c>
      <c r="ZV53" s="4">
        <v>0</v>
      </c>
      <c r="ZW53" s="4">
        <v>0</v>
      </c>
      <c r="ZX53" s="4">
        <v>0</v>
      </c>
      <c r="ZY53" s="4">
        <v>0</v>
      </c>
      <c r="ZZ53" s="4">
        <v>0</v>
      </c>
      <c r="AAA53" s="4">
        <v>0</v>
      </c>
      <c r="AAB53" s="4">
        <v>0</v>
      </c>
      <c r="AAC53" s="4">
        <v>0</v>
      </c>
      <c r="AAD53" s="4">
        <v>0</v>
      </c>
      <c r="AAE53" s="4">
        <v>0</v>
      </c>
      <c r="AAF53" s="4">
        <v>0</v>
      </c>
      <c r="AAG53" s="4">
        <v>0</v>
      </c>
      <c r="AAH53" s="4">
        <v>0</v>
      </c>
      <c r="AAI53" s="4">
        <v>0</v>
      </c>
      <c r="AAJ53" s="4">
        <v>0</v>
      </c>
      <c r="AAK53" s="4">
        <v>0</v>
      </c>
      <c r="AAL53" s="4">
        <v>0</v>
      </c>
      <c r="AAM53" s="4">
        <v>0</v>
      </c>
      <c r="AAN53" s="4">
        <v>0</v>
      </c>
      <c r="AAO53" s="4">
        <v>0</v>
      </c>
      <c r="AAP53" s="4">
        <v>0</v>
      </c>
      <c r="AAQ53" s="4">
        <v>0</v>
      </c>
      <c r="AAR53" s="4">
        <v>0</v>
      </c>
      <c r="AAS53" s="4">
        <v>0</v>
      </c>
      <c r="AAT53" s="4">
        <v>0</v>
      </c>
      <c r="AAU53" s="4">
        <v>0</v>
      </c>
      <c r="AAV53" s="4">
        <v>0</v>
      </c>
      <c r="AAW53" s="4">
        <v>0</v>
      </c>
      <c r="AAX53" s="4">
        <v>0</v>
      </c>
      <c r="AAY53" s="4">
        <v>0</v>
      </c>
      <c r="AAZ53" s="4">
        <v>0</v>
      </c>
      <c r="ABA53" s="4">
        <v>0</v>
      </c>
      <c r="ABB53" s="4">
        <v>0</v>
      </c>
      <c r="ABC53" s="4">
        <v>0</v>
      </c>
      <c r="ABD53" s="4">
        <v>0</v>
      </c>
      <c r="ABE53" s="4">
        <v>0</v>
      </c>
      <c r="ABF53" s="4">
        <v>0</v>
      </c>
      <c r="ABG53" s="4">
        <v>0</v>
      </c>
      <c r="ABH53" s="4">
        <v>0</v>
      </c>
      <c r="ABI53" s="4">
        <v>0</v>
      </c>
      <c r="ABJ53" s="4">
        <v>0</v>
      </c>
      <c r="ABK53" s="4">
        <v>0</v>
      </c>
      <c r="ABL53" s="4">
        <v>0</v>
      </c>
      <c r="ABM53" s="4">
        <v>0</v>
      </c>
      <c r="ABN53" s="4">
        <v>0</v>
      </c>
      <c r="ABO53" s="4">
        <v>0</v>
      </c>
      <c r="ABP53" s="4">
        <v>0</v>
      </c>
      <c r="ABQ53" s="4">
        <v>0</v>
      </c>
      <c r="ABR53" s="4">
        <v>0</v>
      </c>
      <c r="ABS53" s="4">
        <v>0</v>
      </c>
      <c r="ABT53" s="4">
        <v>0</v>
      </c>
      <c r="ABU53" s="4">
        <v>0</v>
      </c>
      <c r="ABV53" s="4">
        <v>0</v>
      </c>
      <c r="ABW53" s="4">
        <v>0</v>
      </c>
      <c r="ABX53" s="4">
        <v>0</v>
      </c>
      <c r="ABY53" s="4">
        <v>0</v>
      </c>
      <c r="ABZ53" s="4">
        <v>0</v>
      </c>
      <c r="ACA53" s="4">
        <v>0</v>
      </c>
      <c r="ACB53" s="4">
        <v>0</v>
      </c>
      <c r="ACC53" s="4">
        <v>0</v>
      </c>
      <c r="ACD53" s="4">
        <v>0</v>
      </c>
      <c r="ACE53" s="4">
        <v>0</v>
      </c>
      <c r="ACF53" s="4">
        <v>0</v>
      </c>
      <c r="ACG53" s="4">
        <v>0</v>
      </c>
      <c r="ACH53" s="4">
        <v>0</v>
      </c>
      <c r="ACI53" s="4">
        <v>0</v>
      </c>
      <c r="ACJ53" s="4">
        <v>0</v>
      </c>
      <c r="ACK53" s="4">
        <v>0</v>
      </c>
      <c r="ACL53" s="4">
        <v>0</v>
      </c>
      <c r="ACM53" s="4">
        <v>0</v>
      </c>
      <c r="ACN53" s="4">
        <v>0</v>
      </c>
      <c r="ACO53" s="4">
        <v>0</v>
      </c>
      <c r="ACP53" s="4">
        <v>0</v>
      </c>
      <c r="ACQ53" s="4">
        <v>0</v>
      </c>
      <c r="ACR53" s="4">
        <v>0</v>
      </c>
      <c r="ACS53" s="4">
        <v>0</v>
      </c>
      <c r="ACT53" s="4">
        <v>0</v>
      </c>
      <c r="ACU53" s="4">
        <v>0</v>
      </c>
      <c r="ACV53" s="4">
        <v>0</v>
      </c>
      <c r="ACW53" s="4">
        <v>0</v>
      </c>
      <c r="ACX53" s="4">
        <v>0</v>
      </c>
      <c r="ACY53" s="4">
        <v>0</v>
      </c>
      <c r="ACZ53" s="4">
        <v>0</v>
      </c>
      <c r="ADA53" s="4">
        <v>0</v>
      </c>
      <c r="ADB53" s="4">
        <v>0</v>
      </c>
      <c r="ADC53" s="4">
        <v>0</v>
      </c>
      <c r="ADD53" s="4">
        <v>0</v>
      </c>
      <c r="ADE53" s="4">
        <v>0</v>
      </c>
      <c r="ADF53" s="4">
        <v>0</v>
      </c>
      <c r="ADG53" s="4">
        <v>0</v>
      </c>
      <c r="ADH53" s="4">
        <v>0</v>
      </c>
      <c r="ADI53" s="4">
        <v>0</v>
      </c>
      <c r="ADJ53" s="4">
        <v>0</v>
      </c>
      <c r="ADK53" s="4">
        <v>0</v>
      </c>
      <c r="ADL53" s="4">
        <v>0</v>
      </c>
      <c r="ADM53" s="4">
        <v>0</v>
      </c>
      <c r="ADN53" s="4">
        <v>0</v>
      </c>
      <c r="ADO53" s="4">
        <v>0</v>
      </c>
      <c r="ADP53" s="4">
        <v>0</v>
      </c>
      <c r="ADQ53" s="4">
        <v>0</v>
      </c>
      <c r="ADR53" s="4">
        <v>0</v>
      </c>
      <c r="ADS53" s="4">
        <v>0</v>
      </c>
      <c r="ADT53" s="4">
        <v>0</v>
      </c>
      <c r="ADU53" s="4">
        <v>0</v>
      </c>
      <c r="ADV53" s="4">
        <v>0</v>
      </c>
      <c r="ADW53" s="4">
        <v>0</v>
      </c>
      <c r="ADX53" s="4">
        <v>0</v>
      </c>
      <c r="ADY53" s="4">
        <v>0</v>
      </c>
      <c r="ADZ53" s="4">
        <v>0</v>
      </c>
      <c r="AEA53" s="4">
        <v>0</v>
      </c>
      <c r="AEB53" s="4">
        <v>0</v>
      </c>
      <c r="AEC53" s="4">
        <v>0</v>
      </c>
      <c r="AED53" s="4">
        <v>0</v>
      </c>
      <c r="AEE53" s="4">
        <v>0</v>
      </c>
      <c r="AEF53" s="4">
        <v>0</v>
      </c>
      <c r="AEG53" s="4">
        <v>0</v>
      </c>
      <c r="AEH53" s="4">
        <v>0</v>
      </c>
      <c r="AEI53" s="4">
        <v>0</v>
      </c>
      <c r="AEJ53" s="4">
        <v>0</v>
      </c>
      <c r="AEK53" s="4">
        <v>0</v>
      </c>
      <c r="AEL53" s="4">
        <v>0</v>
      </c>
      <c r="AEM53" s="4">
        <v>0</v>
      </c>
      <c r="AEN53" s="4">
        <v>0</v>
      </c>
      <c r="AEO53" s="4">
        <v>0</v>
      </c>
      <c r="AEP53" s="4">
        <v>0</v>
      </c>
      <c r="AEQ53" s="4">
        <v>0</v>
      </c>
      <c r="AER53" s="4">
        <v>0</v>
      </c>
      <c r="AES53" s="4">
        <v>0</v>
      </c>
      <c r="AET53" s="4">
        <v>0</v>
      </c>
      <c r="AEU53" s="4">
        <v>0</v>
      </c>
      <c r="AEV53" s="4">
        <v>0</v>
      </c>
      <c r="AEW53" s="4">
        <v>0</v>
      </c>
      <c r="AEX53" s="4">
        <v>0</v>
      </c>
      <c r="AEY53" s="4">
        <v>0</v>
      </c>
      <c r="AEZ53" s="4">
        <v>0</v>
      </c>
      <c r="AFA53" s="4">
        <v>0</v>
      </c>
      <c r="AFB53" s="4">
        <v>0</v>
      </c>
      <c r="AFC53" s="4">
        <v>0</v>
      </c>
      <c r="AFD53" s="4">
        <v>0</v>
      </c>
      <c r="AFE53" s="4">
        <v>0</v>
      </c>
      <c r="AFF53" s="4">
        <v>0</v>
      </c>
      <c r="AFG53" s="4">
        <v>0</v>
      </c>
      <c r="AFH53" s="4">
        <v>0</v>
      </c>
      <c r="AFI53" s="4">
        <v>0</v>
      </c>
      <c r="AFJ53" s="4">
        <v>0</v>
      </c>
      <c r="AFK53" s="4">
        <v>0</v>
      </c>
      <c r="AFL53" s="4">
        <v>0</v>
      </c>
      <c r="AFM53" s="4">
        <v>0</v>
      </c>
      <c r="AFN53" s="4">
        <v>5</v>
      </c>
      <c r="AFO53" s="4">
        <v>47</v>
      </c>
      <c r="AFP53" s="4">
        <v>20</v>
      </c>
      <c r="AFQ53" s="4">
        <v>15</v>
      </c>
      <c r="AFR53" s="4">
        <v>5</v>
      </c>
      <c r="AFS53" s="4">
        <v>0</v>
      </c>
      <c r="AFT53" s="4">
        <v>0</v>
      </c>
      <c r="AFU53" s="4">
        <v>10</v>
      </c>
      <c r="AFV53" s="4">
        <v>7</v>
      </c>
      <c r="AFW53" s="4">
        <v>3</v>
      </c>
      <c r="AFX53" s="4">
        <v>0</v>
      </c>
      <c r="AFY53" s="4">
        <v>358</v>
      </c>
      <c r="AFZ53" s="4">
        <v>403</v>
      </c>
      <c r="AGA53" s="4">
        <v>0</v>
      </c>
      <c r="AGB53" s="4">
        <v>47</v>
      </c>
      <c r="AGC53" s="4">
        <v>4</v>
      </c>
      <c r="AGD53" s="4" t="s">
        <v>1680</v>
      </c>
      <c r="AGE53" s="4">
        <v>11</v>
      </c>
      <c r="AGF53" s="4" t="s">
        <v>1678</v>
      </c>
      <c r="AGG53" s="4">
        <v>9</v>
      </c>
      <c r="AGH53" s="4">
        <v>20</v>
      </c>
      <c r="AGI53" s="4">
        <v>6</v>
      </c>
      <c r="AGJ53" s="4">
        <v>0</v>
      </c>
      <c r="AGK53" s="4">
        <v>0</v>
      </c>
      <c r="AGL53" s="4">
        <v>0</v>
      </c>
      <c r="AGM53" s="4">
        <v>0</v>
      </c>
      <c r="AGN53" s="4">
        <v>0</v>
      </c>
      <c r="AGO53" s="4">
        <v>0</v>
      </c>
      <c r="AGP53" s="4">
        <v>0</v>
      </c>
      <c r="AGQ53" s="4">
        <v>0</v>
      </c>
      <c r="AGR53" s="4">
        <v>1.33</v>
      </c>
      <c r="AGS53" s="4">
        <v>0</v>
      </c>
      <c r="AGT53" s="4">
        <v>0</v>
      </c>
      <c r="AGU53" s="4">
        <v>0</v>
      </c>
      <c r="AGV53" s="4">
        <v>0</v>
      </c>
      <c r="AGW53" s="4">
        <v>0</v>
      </c>
      <c r="AGX53" s="4">
        <v>0</v>
      </c>
      <c r="AGY53" s="4">
        <v>0</v>
      </c>
      <c r="AGZ53" s="4">
        <v>0</v>
      </c>
      <c r="AHA53" s="4">
        <v>5</v>
      </c>
      <c r="AHB53" s="4">
        <v>3</v>
      </c>
      <c r="AHC53" s="4">
        <v>0</v>
      </c>
      <c r="AHD53" s="4">
        <v>0</v>
      </c>
      <c r="AHE53" s="4">
        <v>0</v>
      </c>
      <c r="AHF53" s="4">
        <v>0</v>
      </c>
      <c r="AHG53" s="4">
        <v>0</v>
      </c>
      <c r="AHH53" s="4">
        <v>0</v>
      </c>
      <c r="AHI53" s="4">
        <v>0</v>
      </c>
      <c r="AHJ53" s="4">
        <v>0</v>
      </c>
      <c r="AHK53" s="4">
        <v>0</v>
      </c>
      <c r="AHL53" s="4">
        <v>0</v>
      </c>
      <c r="AHM53" s="4">
        <v>0</v>
      </c>
      <c r="AHN53" s="4">
        <v>0</v>
      </c>
      <c r="AHO53" s="4">
        <v>0</v>
      </c>
      <c r="AHP53" s="4">
        <v>0</v>
      </c>
      <c r="AHQ53" s="4">
        <v>0</v>
      </c>
      <c r="AHR53" s="4">
        <v>0</v>
      </c>
      <c r="AHS53" s="4">
        <v>0</v>
      </c>
      <c r="AHT53" s="4">
        <v>0</v>
      </c>
      <c r="AHU53" s="4">
        <v>0</v>
      </c>
      <c r="AHV53" s="4">
        <v>0</v>
      </c>
      <c r="AHW53" s="4">
        <v>0</v>
      </c>
      <c r="AHX53" s="4">
        <v>0</v>
      </c>
      <c r="AHY53" s="4">
        <v>0</v>
      </c>
      <c r="AHZ53" s="4">
        <v>0</v>
      </c>
      <c r="AIA53" s="4">
        <v>0</v>
      </c>
      <c r="AIB53" s="4">
        <v>0</v>
      </c>
      <c r="AIC53" s="4">
        <v>0</v>
      </c>
      <c r="AID53" s="4">
        <v>0</v>
      </c>
      <c r="AIE53" s="4">
        <v>0</v>
      </c>
      <c r="AIF53" s="4">
        <v>0</v>
      </c>
      <c r="AIG53" s="4">
        <v>0</v>
      </c>
      <c r="AIH53" s="4">
        <v>0</v>
      </c>
      <c r="AII53" s="4">
        <v>0</v>
      </c>
      <c r="AIJ53" s="4">
        <v>0</v>
      </c>
      <c r="AIK53" s="4">
        <v>0</v>
      </c>
      <c r="AIL53" s="4">
        <v>0</v>
      </c>
      <c r="AIM53" s="4">
        <v>0</v>
      </c>
      <c r="AIN53" s="4">
        <v>0</v>
      </c>
      <c r="AIO53" s="4">
        <v>0</v>
      </c>
      <c r="AIP53" s="4">
        <v>0</v>
      </c>
      <c r="AIQ53" s="4">
        <v>0</v>
      </c>
      <c r="AIR53" s="4">
        <v>0</v>
      </c>
      <c r="AIS53" s="4">
        <v>0</v>
      </c>
      <c r="AIT53" s="4">
        <v>0</v>
      </c>
      <c r="AIU53" s="4">
        <v>2</v>
      </c>
      <c r="AIV53" s="4">
        <v>1</v>
      </c>
      <c r="AIW53" s="4">
        <v>0</v>
      </c>
      <c r="AIX53" s="4">
        <v>0</v>
      </c>
      <c r="AIY53" s="4">
        <v>0</v>
      </c>
      <c r="AIZ53" s="4">
        <v>0</v>
      </c>
      <c r="AJA53" s="4">
        <v>0</v>
      </c>
      <c r="AJB53" s="4">
        <v>0</v>
      </c>
      <c r="AJC53" s="4">
        <v>1</v>
      </c>
      <c r="AJD53" s="4">
        <v>0</v>
      </c>
      <c r="AJE53" s="4">
        <v>0</v>
      </c>
      <c r="AJF53" s="4">
        <v>0</v>
      </c>
      <c r="AJG53" s="4">
        <v>0</v>
      </c>
      <c r="AJH53" s="4">
        <v>0</v>
      </c>
      <c r="AJI53" s="4">
        <v>0</v>
      </c>
      <c r="AJJ53" s="4">
        <v>0</v>
      </c>
      <c r="AJK53" s="4">
        <v>0</v>
      </c>
      <c r="AJL53" s="4">
        <v>0</v>
      </c>
      <c r="AJM53" s="4">
        <v>0</v>
      </c>
      <c r="AJN53" s="4">
        <v>0</v>
      </c>
      <c r="AJO53" s="4">
        <v>0</v>
      </c>
      <c r="AJP53" s="4">
        <v>0</v>
      </c>
      <c r="AJQ53" s="4">
        <v>0</v>
      </c>
      <c r="AJR53" s="4">
        <v>0</v>
      </c>
      <c r="AJS53" s="4">
        <v>0</v>
      </c>
      <c r="AJT53" s="4">
        <v>0</v>
      </c>
      <c r="AJU53" s="4">
        <v>0</v>
      </c>
      <c r="AJV53" s="4">
        <v>0</v>
      </c>
      <c r="AJW53" s="4">
        <v>0</v>
      </c>
      <c r="AJX53" s="4">
        <v>0</v>
      </c>
      <c r="AJY53" s="4">
        <v>0</v>
      </c>
      <c r="AJZ53" s="4">
        <v>0</v>
      </c>
      <c r="AKA53" s="4">
        <v>0</v>
      </c>
      <c r="AKB53" s="4">
        <v>0</v>
      </c>
      <c r="AKC53" s="4">
        <v>0</v>
      </c>
      <c r="AKD53" s="4">
        <v>0</v>
      </c>
      <c r="AKE53" s="4">
        <v>0</v>
      </c>
      <c r="AKF53" s="4">
        <v>0</v>
      </c>
      <c r="AKG53" s="4">
        <v>0</v>
      </c>
      <c r="AKH53" s="4">
        <v>0</v>
      </c>
      <c r="AKI53" s="4">
        <v>0</v>
      </c>
      <c r="AKJ53" s="4">
        <v>0</v>
      </c>
      <c r="AKK53" s="4">
        <v>0</v>
      </c>
      <c r="AKL53" s="4">
        <v>0</v>
      </c>
      <c r="AKM53" s="4">
        <v>1</v>
      </c>
      <c r="AKN53" s="4">
        <v>0</v>
      </c>
      <c r="AKO53" s="4">
        <v>0</v>
      </c>
      <c r="AKP53" s="4">
        <v>0</v>
      </c>
      <c r="AKQ53" s="4">
        <v>0</v>
      </c>
      <c r="AKR53" s="4">
        <v>0</v>
      </c>
      <c r="AKS53" s="4">
        <v>6</v>
      </c>
      <c r="AKT53" s="4">
        <v>0</v>
      </c>
      <c r="AKU53" s="4">
        <v>0</v>
      </c>
      <c r="AKV53" s="4">
        <v>0</v>
      </c>
      <c r="AKW53" s="4">
        <v>0</v>
      </c>
      <c r="AKX53" s="4">
        <v>0</v>
      </c>
      <c r="AKY53" s="4">
        <v>0</v>
      </c>
      <c r="AKZ53" s="4">
        <v>1</v>
      </c>
      <c r="ALA53" s="4">
        <v>0</v>
      </c>
      <c r="ALB53" s="4">
        <v>0</v>
      </c>
      <c r="ALC53" s="4">
        <v>0</v>
      </c>
      <c r="ALD53" s="4">
        <v>0</v>
      </c>
      <c r="ALE53" s="4">
        <v>2</v>
      </c>
      <c r="ALF53" s="4">
        <v>0</v>
      </c>
      <c r="ALG53" s="4">
        <v>4</v>
      </c>
      <c r="ALH53" s="4">
        <v>0</v>
      </c>
      <c r="ALI53" s="4">
        <v>0</v>
      </c>
      <c r="ALJ53" s="4">
        <v>0</v>
      </c>
      <c r="ALK53" s="4">
        <v>0</v>
      </c>
      <c r="ALL53" s="4">
        <v>0</v>
      </c>
      <c r="ALM53" s="4">
        <v>0</v>
      </c>
      <c r="ALN53" s="4">
        <v>0</v>
      </c>
      <c r="ALO53" s="4">
        <v>0</v>
      </c>
      <c r="ALP53" s="4">
        <v>0</v>
      </c>
      <c r="ALQ53" s="4">
        <v>0</v>
      </c>
      <c r="ALR53" s="4">
        <v>5</v>
      </c>
      <c r="ALS53" s="4">
        <v>0</v>
      </c>
      <c r="ALT53" s="4">
        <v>0</v>
      </c>
      <c r="ALU53" s="4">
        <v>0</v>
      </c>
      <c r="ALV53" s="4">
        <v>0</v>
      </c>
      <c r="ALW53" s="4">
        <v>0</v>
      </c>
      <c r="ALX53" s="4">
        <v>0</v>
      </c>
      <c r="ALY53" s="4">
        <v>0</v>
      </c>
      <c r="ALZ53" s="4">
        <v>0</v>
      </c>
      <c r="AMA53" s="4">
        <v>0</v>
      </c>
      <c r="AMB53" s="4">
        <v>0</v>
      </c>
      <c r="AMC53" s="4">
        <v>0</v>
      </c>
      <c r="AMD53" s="4">
        <v>0</v>
      </c>
      <c r="AME53" s="4">
        <v>0</v>
      </c>
      <c r="AMF53" s="4">
        <v>0</v>
      </c>
      <c r="AMG53" s="4">
        <v>0</v>
      </c>
      <c r="AMH53" s="4">
        <v>0</v>
      </c>
      <c r="AMI53" s="4">
        <v>0</v>
      </c>
      <c r="AMJ53" s="4">
        <v>0</v>
      </c>
      <c r="AMK53" s="4">
        <v>0</v>
      </c>
      <c r="AML53" s="4">
        <v>1</v>
      </c>
      <c r="AMM53" s="4">
        <v>0</v>
      </c>
      <c r="AMN53" s="4">
        <v>0</v>
      </c>
      <c r="AMO53" s="4">
        <v>0</v>
      </c>
      <c r="AMP53" s="4">
        <v>0</v>
      </c>
      <c r="AMQ53" s="4">
        <v>0</v>
      </c>
      <c r="AMR53" s="4">
        <v>0</v>
      </c>
      <c r="AMS53" s="4">
        <v>0</v>
      </c>
      <c r="AMT53" s="4">
        <v>0</v>
      </c>
      <c r="AMU53" s="4">
        <v>0</v>
      </c>
      <c r="AMV53" s="4">
        <v>0</v>
      </c>
      <c r="AMW53" s="4">
        <v>0</v>
      </c>
      <c r="AMX53" s="4">
        <v>0</v>
      </c>
      <c r="AMY53" s="4">
        <v>0</v>
      </c>
      <c r="AMZ53" s="4">
        <v>0</v>
      </c>
      <c r="ANA53" s="4">
        <v>0</v>
      </c>
      <c r="ANB53" s="4">
        <v>0</v>
      </c>
      <c r="ANC53" s="4">
        <v>0</v>
      </c>
      <c r="AND53" s="4">
        <v>0</v>
      </c>
      <c r="ANE53" s="4">
        <v>0</v>
      </c>
      <c r="ANF53" s="4">
        <v>1</v>
      </c>
      <c r="ANG53" s="4">
        <v>0</v>
      </c>
      <c r="ANH53" s="4">
        <v>2</v>
      </c>
      <c r="ANI53" s="4">
        <v>0</v>
      </c>
      <c r="ANJ53" s="4">
        <v>0</v>
      </c>
      <c r="ANK53" s="4">
        <v>0</v>
      </c>
      <c r="ANL53" s="4">
        <v>0</v>
      </c>
      <c r="ANM53" s="4">
        <v>0</v>
      </c>
      <c r="ANN53" s="4">
        <v>0</v>
      </c>
      <c r="ANO53" s="4">
        <v>0</v>
      </c>
      <c r="ANP53" s="4">
        <v>0</v>
      </c>
      <c r="ANQ53" s="4">
        <v>2</v>
      </c>
      <c r="ANR53" s="4">
        <v>0</v>
      </c>
      <c r="ANS53" s="4">
        <v>0</v>
      </c>
      <c r="ANT53" s="4">
        <v>0</v>
      </c>
      <c r="ANU53" s="4">
        <v>5</v>
      </c>
      <c r="ANV53" s="4">
        <v>0</v>
      </c>
      <c r="ANW53" s="4">
        <v>0</v>
      </c>
      <c r="ANX53" s="4">
        <v>1</v>
      </c>
      <c r="ANY53" s="4">
        <v>0</v>
      </c>
      <c r="ANZ53" s="4">
        <v>0</v>
      </c>
      <c r="AOA53" s="4">
        <v>0</v>
      </c>
      <c r="AOB53" s="4">
        <v>0</v>
      </c>
      <c r="AOC53" s="4">
        <v>0</v>
      </c>
      <c r="AOD53" s="4">
        <v>0</v>
      </c>
      <c r="AOE53" s="4">
        <v>0</v>
      </c>
      <c r="AOF53" s="4">
        <v>0</v>
      </c>
      <c r="AOG53" s="4">
        <v>0</v>
      </c>
      <c r="AOH53" s="4">
        <v>0</v>
      </c>
      <c r="AOI53" s="4">
        <v>0</v>
      </c>
      <c r="AOJ53" s="4">
        <v>0</v>
      </c>
      <c r="AOK53" s="4">
        <v>0</v>
      </c>
      <c r="AOL53" s="4">
        <v>0</v>
      </c>
      <c r="AOM53" s="4">
        <v>0</v>
      </c>
      <c r="AON53" s="4">
        <v>0</v>
      </c>
      <c r="AOO53" s="4">
        <v>0</v>
      </c>
      <c r="AOP53" s="4">
        <v>0</v>
      </c>
      <c r="AOQ53" s="4">
        <v>0</v>
      </c>
      <c r="AOR53" s="4">
        <v>0</v>
      </c>
      <c r="AOS53" s="4">
        <v>0</v>
      </c>
      <c r="AOT53" s="4">
        <v>0</v>
      </c>
      <c r="AOU53" s="4">
        <v>0</v>
      </c>
      <c r="AOV53" s="4">
        <v>0</v>
      </c>
      <c r="AOW53" s="4">
        <v>0</v>
      </c>
      <c r="AOX53" s="4">
        <v>0</v>
      </c>
      <c r="AOY53" s="4">
        <v>0</v>
      </c>
      <c r="AOZ53" s="4">
        <v>0</v>
      </c>
      <c r="APA53" s="4">
        <v>0</v>
      </c>
      <c r="APB53" s="4">
        <v>1</v>
      </c>
      <c r="APC53" s="4">
        <v>0</v>
      </c>
      <c r="APD53" s="4">
        <v>3</v>
      </c>
      <c r="APE53" s="4">
        <v>0</v>
      </c>
      <c r="APF53" s="4">
        <v>0</v>
      </c>
      <c r="APG53" s="4">
        <v>0</v>
      </c>
      <c r="APH53" s="4">
        <v>0</v>
      </c>
      <c r="API53" s="4">
        <v>0</v>
      </c>
      <c r="APJ53" s="4">
        <v>0</v>
      </c>
      <c r="APK53" s="4">
        <v>0</v>
      </c>
      <c r="APL53" s="4">
        <v>0</v>
      </c>
      <c r="APM53" s="4">
        <v>0</v>
      </c>
      <c r="APN53" s="4">
        <v>0</v>
      </c>
      <c r="APO53" s="4">
        <v>0</v>
      </c>
      <c r="APP53" s="4">
        <v>0</v>
      </c>
      <c r="APQ53" s="4">
        <v>0</v>
      </c>
      <c r="APR53" s="4">
        <v>0</v>
      </c>
      <c r="APS53" s="4">
        <v>0</v>
      </c>
      <c r="APT53" s="4">
        <v>0</v>
      </c>
      <c r="APU53" s="4">
        <v>0</v>
      </c>
      <c r="APV53" s="4">
        <v>0</v>
      </c>
      <c r="APW53" s="4">
        <v>0</v>
      </c>
      <c r="APX53" s="4">
        <v>0</v>
      </c>
      <c r="APY53" s="4">
        <v>0</v>
      </c>
      <c r="APZ53" s="4">
        <v>0</v>
      </c>
      <c r="AQA53" s="4">
        <v>0</v>
      </c>
      <c r="AQB53" s="4">
        <v>0</v>
      </c>
      <c r="AQC53" s="4">
        <v>0</v>
      </c>
      <c r="AQD53" s="4">
        <v>0</v>
      </c>
      <c r="AQE53" s="4">
        <v>0</v>
      </c>
      <c r="AQF53" s="4">
        <v>0</v>
      </c>
      <c r="AQG53" s="4">
        <v>0</v>
      </c>
      <c r="AQH53" s="4">
        <v>0</v>
      </c>
      <c r="AQI53" s="4">
        <v>0</v>
      </c>
      <c r="AQJ53" s="4">
        <v>0</v>
      </c>
      <c r="AQK53" s="4">
        <v>0</v>
      </c>
      <c r="AQL53" s="4">
        <v>0</v>
      </c>
      <c r="AQM53" s="4">
        <v>0</v>
      </c>
      <c r="AQN53" s="4">
        <v>0</v>
      </c>
      <c r="AQO53" s="4">
        <v>0</v>
      </c>
      <c r="AQP53" s="4">
        <v>0</v>
      </c>
      <c r="AQQ53" s="4">
        <v>0</v>
      </c>
      <c r="AQR53" s="4">
        <v>0</v>
      </c>
      <c r="AQS53" s="4">
        <v>0</v>
      </c>
      <c r="AQT53" s="4">
        <v>0</v>
      </c>
      <c r="AQU53" s="4">
        <v>0</v>
      </c>
      <c r="AQV53" s="4">
        <v>0</v>
      </c>
      <c r="AQW53" s="4">
        <v>0</v>
      </c>
      <c r="AQX53" s="4">
        <v>0</v>
      </c>
      <c r="AQY53" s="4">
        <v>0</v>
      </c>
      <c r="AQZ53" s="4">
        <v>0</v>
      </c>
      <c r="ARA53" s="4">
        <v>0</v>
      </c>
      <c r="ARB53" s="4">
        <v>0</v>
      </c>
      <c r="ARC53" s="4">
        <v>0</v>
      </c>
      <c r="ARD53" s="4">
        <v>0</v>
      </c>
      <c r="ARE53" s="4">
        <v>0</v>
      </c>
      <c r="ARF53" s="4">
        <v>0</v>
      </c>
      <c r="ARG53" s="4">
        <v>0</v>
      </c>
      <c r="ARH53" s="4">
        <v>0</v>
      </c>
      <c r="ARI53" s="4">
        <v>0</v>
      </c>
      <c r="ARJ53" s="4">
        <v>0</v>
      </c>
      <c r="ARK53" s="4">
        <v>0</v>
      </c>
      <c r="ARL53" s="4">
        <v>0</v>
      </c>
      <c r="ARM53" s="4">
        <v>0</v>
      </c>
      <c r="ARN53" s="4">
        <v>0</v>
      </c>
      <c r="ARO53" s="4">
        <v>0</v>
      </c>
      <c r="ARP53" s="4">
        <v>0</v>
      </c>
      <c r="ARQ53" s="4">
        <v>0</v>
      </c>
      <c r="ARR53" s="4">
        <v>0</v>
      </c>
      <c r="ARS53" s="4">
        <v>0</v>
      </c>
      <c r="ART53" s="4">
        <v>0</v>
      </c>
      <c r="ARU53" s="4">
        <v>0</v>
      </c>
      <c r="ARV53" s="4">
        <v>0</v>
      </c>
      <c r="ARW53" s="4">
        <v>0</v>
      </c>
      <c r="ARX53" s="4">
        <v>0</v>
      </c>
      <c r="ARY53" s="4">
        <v>0</v>
      </c>
      <c r="ARZ53" s="4">
        <v>0</v>
      </c>
      <c r="ASA53" s="4">
        <v>0</v>
      </c>
      <c r="ASB53" s="4">
        <v>0</v>
      </c>
      <c r="ASC53" s="4">
        <v>0</v>
      </c>
      <c r="ASD53" s="4">
        <v>0</v>
      </c>
      <c r="ASE53" s="4">
        <v>0</v>
      </c>
      <c r="ASF53" s="4">
        <v>0</v>
      </c>
      <c r="ASG53" s="4">
        <v>0</v>
      </c>
      <c r="ASH53" s="4">
        <v>0</v>
      </c>
      <c r="ASI53" s="4">
        <v>0</v>
      </c>
      <c r="ASJ53" s="4">
        <v>0</v>
      </c>
      <c r="ASK53" s="4">
        <v>0</v>
      </c>
      <c r="ASL53" s="4">
        <v>0</v>
      </c>
      <c r="ASM53" s="4">
        <v>0</v>
      </c>
      <c r="ASN53" s="4">
        <v>0</v>
      </c>
      <c r="ASO53" s="4">
        <v>0</v>
      </c>
      <c r="ASP53" s="4">
        <v>0</v>
      </c>
      <c r="ASQ53" s="4">
        <v>0</v>
      </c>
      <c r="ASR53" s="4">
        <v>0</v>
      </c>
      <c r="ASS53" s="4">
        <v>0</v>
      </c>
      <c r="AST53" s="4">
        <v>0</v>
      </c>
      <c r="ASU53" s="4">
        <v>0</v>
      </c>
      <c r="ASV53" s="4">
        <v>0</v>
      </c>
      <c r="ASW53" s="4">
        <v>0</v>
      </c>
      <c r="ASX53" s="4">
        <v>0</v>
      </c>
      <c r="ASY53" s="4">
        <v>0</v>
      </c>
      <c r="ASZ53" s="4">
        <v>0</v>
      </c>
      <c r="ATA53" s="4">
        <v>0</v>
      </c>
      <c r="ATB53" s="4">
        <v>0</v>
      </c>
      <c r="ATC53" s="4">
        <v>0</v>
      </c>
      <c r="ATD53" s="4">
        <v>0</v>
      </c>
      <c r="ATE53" s="4">
        <v>0</v>
      </c>
      <c r="ATF53" s="4">
        <v>0</v>
      </c>
      <c r="ATG53" s="4">
        <v>0</v>
      </c>
      <c r="ATH53" s="4">
        <v>0</v>
      </c>
      <c r="ATI53" s="4">
        <v>0</v>
      </c>
      <c r="ATJ53" s="4">
        <v>0</v>
      </c>
      <c r="ATK53" s="4">
        <v>0</v>
      </c>
      <c r="ATL53" s="4">
        <v>0</v>
      </c>
      <c r="ATM53" s="4">
        <v>0</v>
      </c>
      <c r="ATN53" s="4">
        <v>0</v>
      </c>
      <c r="ATO53" s="4">
        <v>0</v>
      </c>
      <c r="ATP53" s="4">
        <v>0</v>
      </c>
      <c r="ATQ53" s="4">
        <v>0</v>
      </c>
      <c r="ATR53" s="4">
        <v>0</v>
      </c>
      <c r="ATS53" s="4">
        <v>0</v>
      </c>
      <c r="ATT53" s="4">
        <v>0</v>
      </c>
      <c r="ATU53" s="4">
        <v>0</v>
      </c>
      <c r="ATV53" s="4">
        <v>0</v>
      </c>
      <c r="ATW53" s="4">
        <v>0</v>
      </c>
      <c r="ATX53" s="4">
        <v>0</v>
      </c>
      <c r="ATY53" s="4">
        <v>0</v>
      </c>
      <c r="ATZ53" s="4">
        <v>0</v>
      </c>
      <c r="AUA53" s="4">
        <v>0</v>
      </c>
      <c r="AUB53" s="4">
        <v>0</v>
      </c>
      <c r="AUC53" s="4">
        <v>0</v>
      </c>
      <c r="AUD53" s="4">
        <v>0</v>
      </c>
      <c r="AUE53" s="4">
        <v>0</v>
      </c>
      <c r="AUF53" s="4">
        <v>0</v>
      </c>
      <c r="AUG53" s="4">
        <v>0</v>
      </c>
      <c r="AUH53" s="4">
        <v>0</v>
      </c>
      <c r="AUI53" s="4">
        <v>0</v>
      </c>
      <c r="AUJ53" s="4">
        <v>0</v>
      </c>
      <c r="AUK53" s="4">
        <v>0</v>
      </c>
      <c r="AUL53" s="4">
        <v>0</v>
      </c>
      <c r="AUM53" s="4">
        <v>0</v>
      </c>
      <c r="AUN53" s="4">
        <v>0</v>
      </c>
      <c r="AUO53" s="4">
        <v>0</v>
      </c>
      <c r="AUP53" s="4">
        <v>0</v>
      </c>
      <c r="AUQ53" s="4">
        <v>0</v>
      </c>
      <c r="AUR53" s="4">
        <v>0</v>
      </c>
      <c r="AUS53" s="4">
        <v>0</v>
      </c>
      <c r="AUT53" s="4">
        <v>0</v>
      </c>
      <c r="AUU53" s="4">
        <v>0</v>
      </c>
      <c r="AUV53" s="4">
        <v>0</v>
      </c>
      <c r="AUW53" s="4">
        <v>0</v>
      </c>
      <c r="AUX53" s="4">
        <v>0</v>
      </c>
      <c r="AUY53" s="4">
        <v>0</v>
      </c>
      <c r="AUZ53" s="4">
        <v>0</v>
      </c>
      <c r="AVA53" s="4">
        <v>0</v>
      </c>
      <c r="AVB53" s="4">
        <v>0</v>
      </c>
      <c r="AVC53" s="4">
        <v>0</v>
      </c>
      <c r="AVD53" s="4">
        <v>0</v>
      </c>
      <c r="AVE53" s="4">
        <v>0</v>
      </c>
      <c r="AVF53" s="4">
        <v>0</v>
      </c>
      <c r="AVG53" s="4">
        <v>0</v>
      </c>
      <c r="AVH53" s="4">
        <v>0</v>
      </c>
      <c r="AVI53" s="4">
        <v>0</v>
      </c>
      <c r="AVJ53" s="4">
        <v>0</v>
      </c>
      <c r="AVK53" s="4">
        <v>0</v>
      </c>
      <c r="AVL53" s="4">
        <v>0</v>
      </c>
      <c r="AVM53" s="4">
        <v>6</v>
      </c>
      <c r="AVN53" s="4">
        <v>56</v>
      </c>
      <c r="AVO53" s="4">
        <v>13</v>
      </c>
      <c r="AVP53" s="4">
        <v>21</v>
      </c>
      <c r="AVQ53" s="4">
        <v>3</v>
      </c>
      <c r="AVR53" s="4">
        <v>0</v>
      </c>
      <c r="AVS53" s="4">
        <v>2</v>
      </c>
      <c r="AVT53" s="4">
        <v>10</v>
      </c>
      <c r="AVU53" s="4">
        <v>1</v>
      </c>
      <c r="AVV53" s="4">
        <v>1</v>
      </c>
      <c r="AVW53" s="4">
        <v>1</v>
      </c>
      <c r="AVX53" s="4">
        <v>334</v>
      </c>
      <c r="AVY53" s="4">
        <v>403</v>
      </c>
      <c r="AVZ53" s="4">
        <v>1</v>
      </c>
      <c r="AWA53" s="4">
        <v>35</v>
      </c>
      <c r="AWB53" s="4">
        <v>2</v>
      </c>
      <c r="AWC53" s="4" t="s">
        <v>1671</v>
      </c>
      <c r="AWD53" s="4">
        <v>9</v>
      </c>
      <c r="AWE53" s="4" t="s">
        <v>1676</v>
      </c>
      <c r="AWF53" s="4">
        <v>10</v>
      </c>
      <c r="AWG53" s="4">
        <v>18</v>
      </c>
      <c r="AWH53" s="4">
        <v>5</v>
      </c>
      <c r="AWI53" s="4">
        <v>0</v>
      </c>
      <c r="AWJ53" s="4">
        <v>0</v>
      </c>
      <c r="AWK53" s="4">
        <v>0</v>
      </c>
      <c r="AWL53" s="4">
        <v>0</v>
      </c>
      <c r="AWM53" s="4">
        <v>0</v>
      </c>
      <c r="AWN53" s="4">
        <v>0</v>
      </c>
      <c r="AWO53" s="4">
        <v>0</v>
      </c>
      <c r="AWP53" s="4">
        <v>0</v>
      </c>
      <c r="AWQ53" s="4">
        <v>0.62</v>
      </c>
      <c r="AWR53" s="4">
        <v>0</v>
      </c>
      <c r="AWS53" s="4">
        <v>0</v>
      </c>
      <c r="AWT53" s="4">
        <v>0</v>
      </c>
      <c r="AWU53" s="4">
        <v>0</v>
      </c>
      <c r="AWV53" s="4">
        <v>0</v>
      </c>
      <c r="AWW53" s="4">
        <v>0</v>
      </c>
      <c r="AWX53" s="4">
        <v>0</v>
      </c>
      <c r="AWY53" s="4">
        <v>0</v>
      </c>
      <c r="AWZ53" s="4">
        <v>3</v>
      </c>
      <c r="AXA53" s="4">
        <v>4</v>
      </c>
      <c r="AXB53" s="4">
        <v>0</v>
      </c>
      <c r="AXC53" s="4">
        <v>0</v>
      </c>
      <c r="AXD53" s="4">
        <v>0</v>
      </c>
      <c r="AXE53" s="4">
        <v>0</v>
      </c>
      <c r="AXF53" s="4">
        <v>0</v>
      </c>
      <c r="AXG53" s="4">
        <v>0</v>
      </c>
      <c r="AXH53" s="4">
        <v>0</v>
      </c>
      <c r="AXI53" s="4">
        <v>0</v>
      </c>
      <c r="AXJ53" s="4">
        <v>0</v>
      </c>
      <c r="AXK53" s="4">
        <v>0</v>
      </c>
      <c r="AXL53" s="4">
        <v>0</v>
      </c>
      <c r="AXM53" s="4">
        <v>0</v>
      </c>
      <c r="AXN53" s="4">
        <v>0</v>
      </c>
      <c r="AXO53" s="4">
        <v>0</v>
      </c>
      <c r="AXP53" s="4">
        <v>0</v>
      </c>
      <c r="AXQ53" s="4">
        <v>0</v>
      </c>
      <c r="AXR53" s="4">
        <v>0</v>
      </c>
      <c r="AXS53" s="4">
        <v>0</v>
      </c>
      <c r="AXT53" s="4">
        <v>0</v>
      </c>
      <c r="AXU53" s="4">
        <v>0</v>
      </c>
      <c r="AXV53" s="4">
        <v>0</v>
      </c>
      <c r="AXW53" s="4">
        <v>0</v>
      </c>
      <c r="AXX53" s="4">
        <v>0</v>
      </c>
      <c r="AXY53" s="4">
        <v>0</v>
      </c>
      <c r="AXZ53" s="4">
        <v>0</v>
      </c>
      <c r="AYA53" s="4">
        <v>0</v>
      </c>
      <c r="AYB53" s="4">
        <v>0</v>
      </c>
      <c r="AYC53" s="4">
        <v>0</v>
      </c>
      <c r="AYD53" s="4">
        <v>0</v>
      </c>
      <c r="AYE53" s="4">
        <v>0</v>
      </c>
      <c r="AYF53" s="4">
        <v>0</v>
      </c>
      <c r="AYG53" s="4">
        <v>0</v>
      </c>
      <c r="AYH53" s="4">
        <v>0</v>
      </c>
      <c r="AYI53" s="4">
        <v>0</v>
      </c>
      <c r="AYJ53" s="4">
        <v>0</v>
      </c>
      <c r="AYK53" s="4">
        <v>0</v>
      </c>
      <c r="AYL53" s="4">
        <v>0</v>
      </c>
      <c r="AYM53" s="4">
        <v>0</v>
      </c>
      <c r="AYN53" s="4">
        <v>0</v>
      </c>
      <c r="AYO53" s="4">
        <v>0</v>
      </c>
      <c r="AYP53" s="4">
        <v>0</v>
      </c>
      <c r="AYQ53" s="4">
        <v>0</v>
      </c>
      <c r="AYR53" s="4">
        <v>0</v>
      </c>
      <c r="AYS53" s="4">
        <v>0</v>
      </c>
      <c r="AYT53" s="4">
        <v>0</v>
      </c>
      <c r="AYU53" s="4">
        <v>3</v>
      </c>
      <c r="AYV53" s="4">
        <v>0</v>
      </c>
      <c r="AYW53" s="4">
        <v>0</v>
      </c>
      <c r="AYX53" s="4">
        <v>0</v>
      </c>
      <c r="AYY53" s="4">
        <v>0</v>
      </c>
      <c r="AYZ53" s="4">
        <v>0</v>
      </c>
      <c r="AZA53" s="4">
        <v>0</v>
      </c>
      <c r="AZB53" s="4">
        <v>1</v>
      </c>
      <c r="AZC53" s="4">
        <v>0</v>
      </c>
      <c r="AZD53" s="4">
        <v>0</v>
      </c>
      <c r="AZE53" s="4">
        <v>0</v>
      </c>
      <c r="AZF53" s="4">
        <v>0</v>
      </c>
      <c r="AZG53" s="4">
        <v>0</v>
      </c>
      <c r="AZH53" s="4">
        <v>0</v>
      </c>
      <c r="AZI53" s="4">
        <v>0</v>
      </c>
      <c r="AZJ53" s="4">
        <v>0</v>
      </c>
      <c r="AZK53" s="4">
        <v>0</v>
      </c>
      <c r="AZL53" s="4">
        <v>0</v>
      </c>
      <c r="AZM53" s="4">
        <v>0</v>
      </c>
      <c r="AZN53" s="4">
        <v>0</v>
      </c>
      <c r="AZO53" s="4">
        <v>0</v>
      </c>
      <c r="AZP53" s="4">
        <v>0</v>
      </c>
      <c r="AZQ53" s="4">
        <v>0</v>
      </c>
      <c r="AZR53" s="4">
        <v>0</v>
      </c>
      <c r="AZS53" s="4">
        <v>0</v>
      </c>
      <c r="AZT53" s="4">
        <v>0</v>
      </c>
      <c r="AZU53" s="4">
        <v>0</v>
      </c>
      <c r="AZV53" s="4">
        <v>0</v>
      </c>
      <c r="AZW53" s="4">
        <v>0</v>
      </c>
      <c r="AZX53" s="4">
        <v>0</v>
      </c>
      <c r="AZY53" s="4">
        <v>0</v>
      </c>
      <c r="AZZ53" s="4">
        <v>0</v>
      </c>
      <c r="BAA53" s="4">
        <v>0</v>
      </c>
      <c r="BAB53" s="4">
        <v>0</v>
      </c>
      <c r="BAC53" s="4">
        <v>0</v>
      </c>
      <c r="BAD53" s="4">
        <v>0</v>
      </c>
      <c r="BAE53" s="4">
        <v>0</v>
      </c>
      <c r="BAF53" s="4">
        <v>0</v>
      </c>
      <c r="BAG53" s="4">
        <v>0</v>
      </c>
      <c r="BAH53" s="4">
        <v>0</v>
      </c>
      <c r="BAI53" s="4">
        <v>0</v>
      </c>
      <c r="BAJ53" s="4">
        <v>0</v>
      </c>
      <c r="BAK53" s="4">
        <v>0</v>
      </c>
      <c r="BAL53" s="4">
        <v>0</v>
      </c>
      <c r="BAM53" s="4">
        <v>0</v>
      </c>
      <c r="BAN53" s="4">
        <v>0</v>
      </c>
      <c r="BAO53" s="4">
        <v>0</v>
      </c>
      <c r="BAP53" s="4">
        <v>0</v>
      </c>
      <c r="BAQ53" s="4">
        <v>0</v>
      </c>
      <c r="BAR53" s="4">
        <v>1</v>
      </c>
      <c r="BAS53" s="4">
        <v>0</v>
      </c>
      <c r="BAT53" s="4">
        <v>0</v>
      </c>
      <c r="BAU53" s="4">
        <v>0</v>
      </c>
      <c r="BAV53" s="4">
        <v>0</v>
      </c>
      <c r="BAW53" s="4">
        <v>0</v>
      </c>
      <c r="BAX53" s="4">
        <v>0</v>
      </c>
      <c r="BAY53" s="4">
        <v>0</v>
      </c>
      <c r="BAZ53" s="4">
        <v>0</v>
      </c>
      <c r="BBA53" s="4">
        <v>0</v>
      </c>
      <c r="BBB53" s="4">
        <v>0</v>
      </c>
      <c r="BBC53" s="4">
        <v>0</v>
      </c>
      <c r="BBD53" s="4">
        <v>3</v>
      </c>
      <c r="BBE53" s="4">
        <v>0</v>
      </c>
      <c r="BBF53" s="4">
        <v>3</v>
      </c>
      <c r="BBG53" s="4">
        <v>0</v>
      </c>
      <c r="BBH53" s="4">
        <v>0</v>
      </c>
      <c r="BBI53" s="4">
        <v>0</v>
      </c>
      <c r="BBJ53" s="4">
        <v>0</v>
      </c>
      <c r="BBK53" s="4">
        <v>0</v>
      </c>
      <c r="BBL53" s="4">
        <v>0</v>
      </c>
      <c r="BBM53" s="4">
        <v>0</v>
      </c>
      <c r="BBN53" s="4">
        <v>0</v>
      </c>
      <c r="BBO53" s="4">
        <v>0</v>
      </c>
      <c r="BBP53" s="4">
        <v>0</v>
      </c>
      <c r="BBQ53" s="4">
        <v>3</v>
      </c>
      <c r="BBR53" s="4">
        <v>0</v>
      </c>
      <c r="BBS53" s="4">
        <v>0</v>
      </c>
      <c r="BBT53" s="4">
        <v>0</v>
      </c>
      <c r="BBU53" s="4">
        <v>0</v>
      </c>
      <c r="BBV53" s="4">
        <v>0</v>
      </c>
      <c r="BBW53" s="4">
        <v>0</v>
      </c>
      <c r="BBX53" s="4">
        <v>0</v>
      </c>
      <c r="BBY53" s="4">
        <v>0</v>
      </c>
      <c r="BBZ53" s="4">
        <v>0</v>
      </c>
      <c r="BCA53" s="4">
        <v>0</v>
      </c>
      <c r="BCB53" s="4">
        <v>0</v>
      </c>
      <c r="BCC53" s="4">
        <v>0</v>
      </c>
      <c r="BCD53" s="4">
        <v>0</v>
      </c>
      <c r="BCE53" s="4">
        <v>0</v>
      </c>
      <c r="BCF53" s="4">
        <v>0</v>
      </c>
      <c r="BCG53" s="4">
        <v>0</v>
      </c>
      <c r="BCH53" s="4">
        <v>0</v>
      </c>
      <c r="BCI53" s="4">
        <v>0</v>
      </c>
      <c r="BCJ53" s="4">
        <v>0</v>
      </c>
      <c r="BCK53" s="4">
        <v>0</v>
      </c>
      <c r="BCL53" s="4">
        <v>0</v>
      </c>
      <c r="BCM53" s="4">
        <v>0</v>
      </c>
      <c r="BCN53" s="4">
        <v>0</v>
      </c>
      <c r="BCO53" s="4">
        <v>0</v>
      </c>
      <c r="BCP53" s="4">
        <v>0</v>
      </c>
      <c r="BCQ53" s="4">
        <v>0</v>
      </c>
      <c r="BCR53" s="4">
        <v>1</v>
      </c>
      <c r="BCS53" s="4">
        <v>0</v>
      </c>
      <c r="BCT53" s="4">
        <v>0</v>
      </c>
      <c r="BCU53" s="4">
        <v>0</v>
      </c>
      <c r="BCV53" s="4">
        <v>0</v>
      </c>
      <c r="BCW53" s="4">
        <v>0</v>
      </c>
      <c r="BCX53" s="4">
        <v>0</v>
      </c>
      <c r="BCY53" s="4">
        <v>0</v>
      </c>
      <c r="BCZ53" s="4">
        <v>0</v>
      </c>
      <c r="BDA53" s="4">
        <v>0</v>
      </c>
      <c r="BDB53" s="4">
        <v>0</v>
      </c>
      <c r="BDC53" s="4">
        <v>0</v>
      </c>
      <c r="BDD53" s="4">
        <v>0</v>
      </c>
      <c r="BDE53" s="4">
        <v>0</v>
      </c>
      <c r="BDF53" s="4">
        <v>0</v>
      </c>
      <c r="BDG53" s="4">
        <v>0</v>
      </c>
      <c r="BDH53" s="4">
        <v>0</v>
      </c>
      <c r="BDI53" s="4">
        <v>0</v>
      </c>
      <c r="BDJ53" s="4">
        <v>0</v>
      </c>
      <c r="BDK53" s="4">
        <v>0</v>
      </c>
      <c r="BDL53" s="4">
        <v>0</v>
      </c>
      <c r="BDM53" s="4">
        <v>0</v>
      </c>
      <c r="BDN53" s="4">
        <v>0</v>
      </c>
      <c r="BDO53" s="4">
        <v>0</v>
      </c>
      <c r="BDP53" s="4">
        <v>1</v>
      </c>
      <c r="BDQ53" s="4">
        <v>0</v>
      </c>
      <c r="BDR53" s="4">
        <v>0</v>
      </c>
      <c r="BDS53" s="4">
        <v>0</v>
      </c>
      <c r="BDT53" s="4">
        <v>4</v>
      </c>
      <c r="BDU53" s="4">
        <v>0</v>
      </c>
      <c r="BDV53" s="4">
        <v>0</v>
      </c>
      <c r="BDW53" s="4">
        <v>5</v>
      </c>
      <c r="BDX53" s="4">
        <v>0</v>
      </c>
      <c r="BDY53" s="4">
        <v>0</v>
      </c>
      <c r="BDZ53" s="4">
        <v>0</v>
      </c>
      <c r="BEA53" s="4">
        <v>0</v>
      </c>
      <c r="BEB53" s="4">
        <v>0</v>
      </c>
      <c r="BEC53" s="4">
        <v>0</v>
      </c>
      <c r="BED53" s="4">
        <v>0</v>
      </c>
      <c r="BEE53" s="4">
        <v>0</v>
      </c>
      <c r="BEF53" s="4">
        <v>1</v>
      </c>
      <c r="BEG53" s="4">
        <v>0</v>
      </c>
      <c r="BEH53" s="4">
        <v>0</v>
      </c>
      <c r="BEI53" s="4">
        <v>0</v>
      </c>
      <c r="BEJ53" s="4">
        <v>0</v>
      </c>
      <c r="BEK53" s="4">
        <v>0</v>
      </c>
      <c r="BEL53" s="4">
        <v>0</v>
      </c>
      <c r="BEM53" s="4">
        <v>0</v>
      </c>
      <c r="BEN53" s="4">
        <v>0</v>
      </c>
      <c r="BEO53" s="4">
        <v>0</v>
      </c>
      <c r="BEP53" s="4">
        <v>0</v>
      </c>
      <c r="BEQ53" s="4">
        <v>0</v>
      </c>
      <c r="BER53" s="4">
        <v>1</v>
      </c>
      <c r="BES53" s="4">
        <v>0</v>
      </c>
      <c r="BET53" s="4">
        <v>0</v>
      </c>
      <c r="BEU53" s="4">
        <v>0</v>
      </c>
      <c r="BEV53" s="4">
        <v>0</v>
      </c>
      <c r="BEW53" s="4">
        <v>0</v>
      </c>
      <c r="BEX53" s="4">
        <v>0</v>
      </c>
      <c r="BEY53" s="4">
        <v>0</v>
      </c>
      <c r="BEZ53" s="4">
        <v>0</v>
      </c>
      <c r="BFA53" s="4">
        <v>0</v>
      </c>
      <c r="BFB53" s="4">
        <v>0</v>
      </c>
      <c r="BFC53" s="4">
        <v>0</v>
      </c>
      <c r="BFD53" s="4">
        <v>0</v>
      </c>
      <c r="BFE53" s="4">
        <v>0</v>
      </c>
      <c r="BFF53" s="4">
        <v>0</v>
      </c>
      <c r="BFG53" s="4">
        <v>0</v>
      </c>
      <c r="BFH53" s="4">
        <v>0</v>
      </c>
      <c r="BFI53" s="4">
        <v>0</v>
      </c>
      <c r="BFJ53" s="4">
        <v>0</v>
      </c>
      <c r="BFK53" s="4">
        <v>0</v>
      </c>
      <c r="BFL53" s="4">
        <v>0</v>
      </c>
      <c r="BFM53" s="4">
        <v>0</v>
      </c>
      <c r="BFN53" s="4">
        <v>0</v>
      </c>
      <c r="BFO53" s="4">
        <v>0</v>
      </c>
      <c r="BFP53" s="4">
        <v>0</v>
      </c>
      <c r="BFQ53" s="4">
        <v>0</v>
      </c>
      <c r="BFR53" s="4">
        <v>0</v>
      </c>
      <c r="BFS53" s="4">
        <v>0</v>
      </c>
      <c r="BFT53" s="4">
        <v>0</v>
      </c>
      <c r="BFU53" s="4">
        <v>0</v>
      </c>
      <c r="BFV53" s="4">
        <v>0</v>
      </c>
      <c r="BFW53" s="4">
        <v>0</v>
      </c>
      <c r="BFX53" s="4">
        <v>0</v>
      </c>
      <c r="BFY53" s="4">
        <v>0</v>
      </c>
      <c r="BFZ53" s="4">
        <v>0</v>
      </c>
      <c r="BGA53" s="4">
        <v>0</v>
      </c>
      <c r="BGB53" s="4">
        <v>0</v>
      </c>
      <c r="BGC53" s="4">
        <v>0</v>
      </c>
      <c r="BGD53" s="4">
        <v>0</v>
      </c>
      <c r="BGE53" s="4">
        <v>0</v>
      </c>
      <c r="BGF53" s="4">
        <v>0</v>
      </c>
      <c r="BGG53" s="4">
        <v>0</v>
      </c>
      <c r="BGH53" s="4">
        <v>0</v>
      </c>
      <c r="BGI53" s="4">
        <v>0</v>
      </c>
      <c r="BGJ53" s="4">
        <v>0</v>
      </c>
      <c r="BGK53" s="4">
        <v>0</v>
      </c>
      <c r="BGL53" s="4">
        <v>0</v>
      </c>
      <c r="BGM53" s="4">
        <v>0</v>
      </c>
      <c r="BGN53" s="4">
        <v>0</v>
      </c>
      <c r="BGO53" s="4">
        <v>0</v>
      </c>
      <c r="BGP53" s="4">
        <v>0</v>
      </c>
      <c r="BGQ53" s="4">
        <v>0</v>
      </c>
      <c r="BGR53" s="4">
        <v>0</v>
      </c>
      <c r="BGS53" s="4">
        <v>0</v>
      </c>
      <c r="BGT53" s="4">
        <v>0</v>
      </c>
      <c r="BGU53" s="4">
        <v>0</v>
      </c>
      <c r="BGV53" s="4">
        <v>0</v>
      </c>
      <c r="BGW53" s="4">
        <v>0</v>
      </c>
      <c r="BGX53" s="4">
        <v>1</v>
      </c>
      <c r="BGY53" s="4">
        <v>0</v>
      </c>
      <c r="BGZ53" s="4">
        <v>0</v>
      </c>
      <c r="BHA53" s="4">
        <v>0</v>
      </c>
      <c r="BHB53" s="4">
        <v>0</v>
      </c>
      <c r="BHC53" s="4">
        <v>0</v>
      </c>
      <c r="BHD53" s="4">
        <v>0</v>
      </c>
      <c r="BHE53" s="4">
        <v>0</v>
      </c>
      <c r="BHF53" s="4">
        <v>0</v>
      </c>
      <c r="BHG53" s="4">
        <v>0</v>
      </c>
      <c r="BHH53" s="4">
        <v>0</v>
      </c>
      <c r="BHI53" s="4">
        <v>0</v>
      </c>
      <c r="BHJ53" s="4">
        <v>0</v>
      </c>
      <c r="BHK53" s="4">
        <v>0</v>
      </c>
      <c r="BHL53" s="4">
        <v>0</v>
      </c>
      <c r="BHM53" s="4">
        <v>0</v>
      </c>
      <c r="BHN53" s="4">
        <v>0</v>
      </c>
      <c r="BHO53" s="4">
        <v>0</v>
      </c>
      <c r="BHP53" s="4">
        <v>0</v>
      </c>
      <c r="BHQ53" s="4">
        <v>0</v>
      </c>
      <c r="BHR53" s="4">
        <v>0</v>
      </c>
      <c r="BHS53" s="4">
        <v>0</v>
      </c>
      <c r="BHT53" s="4">
        <v>0</v>
      </c>
      <c r="BHU53" s="4">
        <v>0</v>
      </c>
      <c r="BHV53" s="4">
        <v>0</v>
      </c>
      <c r="BHW53" s="4">
        <v>0</v>
      </c>
      <c r="BHX53" s="4">
        <v>0</v>
      </c>
      <c r="BHY53" s="4">
        <v>0</v>
      </c>
      <c r="BHZ53" s="4">
        <v>0</v>
      </c>
      <c r="BIA53" s="4">
        <v>0</v>
      </c>
      <c r="BIB53" s="4">
        <v>0</v>
      </c>
      <c r="BIC53" s="4">
        <v>0</v>
      </c>
      <c r="BID53" s="4">
        <v>0</v>
      </c>
      <c r="BIE53" s="4">
        <v>0</v>
      </c>
      <c r="BIF53" s="4">
        <v>0</v>
      </c>
      <c r="BIG53" s="4">
        <v>0</v>
      </c>
      <c r="BIH53" s="4">
        <v>0</v>
      </c>
      <c r="BII53" s="4">
        <v>0</v>
      </c>
      <c r="BIJ53" s="4">
        <v>0</v>
      </c>
      <c r="BIK53" s="4">
        <v>0</v>
      </c>
      <c r="BIL53" s="4">
        <v>0</v>
      </c>
      <c r="BIM53" s="4">
        <v>0</v>
      </c>
      <c r="BIN53" s="4">
        <v>0</v>
      </c>
      <c r="BIO53" s="4">
        <v>0</v>
      </c>
      <c r="BIP53" s="4">
        <v>0</v>
      </c>
      <c r="BIQ53" s="4">
        <v>0</v>
      </c>
      <c r="BIR53" s="4">
        <v>0</v>
      </c>
      <c r="BIS53" s="4">
        <v>0</v>
      </c>
      <c r="BIT53" s="4">
        <v>0</v>
      </c>
      <c r="BIU53" s="4">
        <v>0</v>
      </c>
      <c r="BIV53" s="4">
        <v>0</v>
      </c>
      <c r="BIW53" s="4">
        <v>0</v>
      </c>
      <c r="BIX53" s="4">
        <v>0</v>
      </c>
      <c r="BIY53" s="4">
        <v>0</v>
      </c>
      <c r="BIZ53" s="4">
        <v>0</v>
      </c>
      <c r="BJA53" s="4">
        <v>0</v>
      </c>
      <c r="BJB53" s="4">
        <v>0</v>
      </c>
      <c r="BJC53" s="4">
        <v>0</v>
      </c>
      <c r="BJD53" s="4">
        <v>0</v>
      </c>
      <c r="BJE53" s="4">
        <v>0</v>
      </c>
      <c r="BJF53" s="4">
        <v>0</v>
      </c>
      <c r="BJG53" s="4">
        <v>0</v>
      </c>
      <c r="BJH53" s="4">
        <v>0</v>
      </c>
      <c r="BJI53" s="4">
        <v>0</v>
      </c>
      <c r="BJJ53" s="4">
        <v>0</v>
      </c>
      <c r="BJK53" s="4">
        <v>0</v>
      </c>
      <c r="BJL53" s="4">
        <v>0</v>
      </c>
      <c r="BJM53" s="4">
        <v>0</v>
      </c>
      <c r="BJN53" s="4">
        <v>0</v>
      </c>
      <c r="BJO53" s="4">
        <v>0</v>
      </c>
      <c r="BJP53" s="4">
        <v>0</v>
      </c>
      <c r="BJQ53" s="4">
        <v>0</v>
      </c>
      <c r="BJR53" s="4">
        <v>0</v>
      </c>
      <c r="BJS53" s="4">
        <v>0</v>
      </c>
      <c r="BJT53" s="4">
        <v>0</v>
      </c>
      <c r="BJU53" s="4">
        <v>0</v>
      </c>
      <c r="BJV53" s="4">
        <v>0</v>
      </c>
      <c r="BJW53" s="4">
        <v>0</v>
      </c>
      <c r="BJX53" s="4">
        <v>0</v>
      </c>
      <c r="BJY53" s="4">
        <v>0</v>
      </c>
      <c r="BJZ53" s="4">
        <v>0</v>
      </c>
      <c r="BKA53" s="4">
        <v>0</v>
      </c>
      <c r="BKB53" s="4">
        <v>0</v>
      </c>
      <c r="BKC53" s="4">
        <v>0</v>
      </c>
      <c r="BKD53" s="4">
        <v>0</v>
      </c>
      <c r="BKE53" s="4">
        <v>0</v>
      </c>
      <c r="BKF53" s="4">
        <v>0</v>
      </c>
      <c r="BKG53" s="4">
        <v>0</v>
      </c>
      <c r="BKH53" s="4">
        <v>0</v>
      </c>
      <c r="BKI53" s="4">
        <v>0</v>
      </c>
      <c r="BKJ53" s="4">
        <v>0</v>
      </c>
      <c r="BKK53" s="4">
        <v>0</v>
      </c>
      <c r="BKL53" s="4">
        <v>0</v>
      </c>
      <c r="BKM53" s="4">
        <v>0</v>
      </c>
      <c r="BKN53" s="4">
        <v>0</v>
      </c>
      <c r="BKO53" s="4">
        <v>0</v>
      </c>
      <c r="BKP53" s="4">
        <v>0</v>
      </c>
      <c r="BKQ53" s="4">
        <v>0</v>
      </c>
      <c r="BKR53" s="4">
        <v>0</v>
      </c>
      <c r="BKS53" s="4">
        <v>0</v>
      </c>
      <c r="BKT53" s="4">
        <v>0</v>
      </c>
      <c r="BKU53" s="4">
        <v>0</v>
      </c>
      <c r="BKV53" s="4">
        <v>0</v>
      </c>
      <c r="BKW53" s="4">
        <v>0</v>
      </c>
      <c r="BKX53" s="4">
        <v>0</v>
      </c>
      <c r="BKY53" s="4">
        <v>0</v>
      </c>
      <c r="BKZ53" s="4">
        <v>0</v>
      </c>
      <c r="BLA53" s="4">
        <v>0</v>
      </c>
      <c r="BLB53" s="4">
        <v>0</v>
      </c>
      <c r="BLC53" s="4">
        <v>0</v>
      </c>
      <c r="BLD53" s="4">
        <v>0</v>
      </c>
      <c r="BLE53" s="4">
        <v>0</v>
      </c>
      <c r="BLF53" s="4">
        <v>0</v>
      </c>
      <c r="BLG53" s="4">
        <v>0</v>
      </c>
      <c r="BLH53" s="4">
        <v>0</v>
      </c>
      <c r="BLI53" s="4">
        <v>0</v>
      </c>
      <c r="BLJ53" s="4">
        <v>0</v>
      </c>
      <c r="BLK53" s="4">
        <v>0</v>
      </c>
    </row>
    <row r="54" spans="1:1675" x14ac:dyDescent="0.2">
      <c r="A54">
        <v>5</v>
      </c>
      <c r="B54">
        <v>10</v>
      </c>
      <c r="C54">
        <f t="shared" si="16"/>
        <v>80</v>
      </c>
      <c r="D54">
        <f t="shared" si="14"/>
        <v>969</v>
      </c>
      <c r="E54">
        <f t="shared" si="15"/>
        <v>53</v>
      </c>
      <c r="F54">
        <f t="shared" si="17"/>
        <v>4</v>
      </c>
      <c r="G54">
        <f t="shared" si="18"/>
        <v>4</v>
      </c>
      <c r="H54" cm="1">
        <f t="array" ref="H54">_xlfn.IFS(P54=0, 1, P54=7, 2, P54=5, 3)</f>
        <v>3</v>
      </c>
      <c r="I54" cm="1">
        <f t="array" ref="I54">_xlfn.IFS(H54=1, IF(AC54=0, P54, PO54), H54=2, IF(AC54=0, P54, AFN54), H54=3, IF(AC54=0, P54, AVM54))</f>
        <v>6</v>
      </c>
      <c r="J54" cm="1">
        <f t="array" ref="J54">_xlfn.IFS(I54=0, 1, I54=1, 0, I54=2, 7, I54=7, 2, I54=5, 6, I54=6, 5)</f>
        <v>5</v>
      </c>
      <c r="K54" t="str" cm="1">
        <f t="array" ref="K54">_xlfn.IFNA(_xlfn.IFS(P54&lt;&gt;P55, 1, A54&lt;&gt;A55, IF(P55=P54, 1)), "")</f>
        <v/>
      </c>
      <c r="L54" t="str">
        <f t="shared" si="7"/>
        <v/>
      </c>
      <c r="M54" t="s">
        <v>1744</v>
      </c>
      <c r="N54" s="4" t="s">
        <v>1753</v>
      </c>
      <c r="O54" s="4"/>
      <c r="P54" s="4">
        <v>5</v>
      </c>
      <c r="Q54" s="4">
        <v>37</v>
      </c>
      <c r="R54" s="4">
        <v>12</v>
      </c>
      <c r="S54" s="4">
        <v>16</v>
      </c>
      <c r="T54" s="4">
        <v>6</v>
      </c>
      <c r="U54" s="4">
        <v>0</v>
      </c>
      <c r="V54" s="4">
        <v>0</v>
      </c>
      <c r="W54" s="4">
        <v>9</v>
      </c>
      <c r="X54" s="4">
        <v>3</v>
      </c>
      <c r="Y54" s="4">
        <v>0</v>
      </c>
      <c r="Z54" s="4">
        <v>0</v>
      </c>
      <c r="AA54" s="4">
        <v>295</v>
      </c>
      <c r="AB54" s="4">
        <v>342</v>
      </c>
      <c r="AC54" s="4">
        <v>1</v>
      </c>
      <c r="AD54" s="4">
        <v>37</v>
      </c>
      <c r="AE54" s="4">
        <v>3</v>
      </c>
      <c r="AF54" s="4" t="s">
        <v>1680</v>
      </c>
      <c r="AG54" s="4">
        <v>7</v>
      </c>
      <c r="AH54" s="4" t="s">
        <v>1678</v>
      </c>
      <c r="AI54" s="4">
        <v>8</v>
      </c>
      <c r="AJ54" s="4">
        <v>16</v>
      </c>
      <c r="AK54" s="4">
        <v>4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0.75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6</v>
      </c>
      <c r="BD54" s="4">
        <v>2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1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2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1</v>
      </c>
      <c r="DQ54" s="4">
        <v>1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2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6</v>
      </c>
      <c r="FC54" s="4">
        <v>0</v>
      </c>
      <c r="FD54" s="4">
        <v>0</v>
      </c>
      <c r="FE54" s="4">
        <v>0</v>
      </c>
      <c r="FF54" s="4">
        <v>0</v>
      </c>
      <c r="FG54" s="4">
        <v>3</v>
      </c>
      <c r="FH54" s="4">
        <v>0</v>
      </c>
      <c r="FI54" s="4">
        <v>4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1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1</v>
      </c>
      <c r="HI54" s="4">
        <v>0</v>
      </c>
      <c r="HJ54" s="4">
        <v>1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4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1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1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0</v>
      </c>
      <c r="LY54" s="4">
        <v>0</v>
      </c>
      <c r="LZ54" s="4">
        <v>0</v>
      </c>
      <c r="MA54" s="4">
        <v>0</v>
      </c>
      <c r="MB54" s="4">
        <v>0</v>
      </c>
      <c r="MC54" s="4">
        <v>0</v>
      </c>
      <c r="MD54" s="4">
        <v>0</v>
      </c>
      <c r="ME54" s="4">
        <v>0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0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0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0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0</v>
      </c>
      <c r="PC54" s="4">
        <v>0</v>
      </c>
      <c r="PD54" s="4">
        <v>0</v>
      </c>
      <c r="PE54" s="4">
        <v>0</v>
      </c>
      <c r="PF54" s="4">
        <v>0</v>
      </c>
      <c r="PG54" s="4">
        <v>0</v>
      </c>
      <c r="PH54" s="4">
        <v>0</v>
      </c>
      <c r="PI54" s="4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6</v>
      </c>
      <c r="PP54" s="4">
        <v>47</v>
      </c>
      <c r="PQ54" s="4">
        <v>12</v>
      </c>
      <c r="PR54" s="4">
        <v>18</v>
      </c>
      <c r="PS54" s="4">
        <v>6</v>
      </c>
      <c r="PT54" s="4">
        <v>0</v>
      </c>
      <c r="PU54" s="4">
        <v>0</v>
      </c>
      <c r="PV54" s="4">
        <v>7</v>
      </c>
      <c r="PW54" s="4">
        <v>3</v>
      </c>
      <c r="PX54" s="4">
        <v>2</v>
      </c>
      <c r="PY54" s="4">
        <v>0</v>
      </c>
      <c r="PZ54" s="4">
        <v>289</v>
      </c>
      <c r="QA54" s="4">
        <v>342</v>
      </c>
      <c r="QB54" s="4">
        <v>0</v>
      </c>
      <c r="QC54" s="4">
        <v>33</v>
      </c>
      <c r="QD54" s="4">
        <v>3</v>
      </c>
      <c r="QE54" s="4" t="s">
        <v>1676</v>
      </c>
      <c r="QF54" s="4">
        <v>8</v>
      </c>
      <c r="QG54" s="4" t="s">
        <v>1671</v>
      </c>
      <c r="QH54" s="4">
        <v>11</v>
      </c>
      <c r="QI54" s="4">
        <v>115</v>
      </c>
      <c r="QJ54" s="4">
        <v>5</v>
      </c>
      <c r="QK54" s="4">
        <v>0</v>
      </c>
      <c r="QL54" s="4">
        <v>0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0.67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6</v>
      </c>
      <c r="RC54" s="4">
        <v>4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3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2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1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4">
        <v>0</v>
      </c>
      <c r="VE54" s="4">
        <v>0</v>
      </c>
      <c r="VF54" s="4">
        <v>0</v>
      </c>
      <c r="VG54" s="4">
        <v>0</v>
      </c>
      <c r="VH54" s="4">
        <v>2</v>
      </c>
      <c r="VI54" s="4">
        <v>0</v>
      </c>
      <c r="VJ54" s="4">
        <v>0</v>
      </c>
      <c r="VK54" s="4">
        <v>0</v>
      </c>
      <c r="VL54" s="4">
        <v>0</v>
      </c>
      <c r="VM54" s="4">
        <v>0</v>
      </c>
      <c r="VN54" s="4">
        <v>0</v>
      </c>
      <c r="VO54" s="4">
        <v>0</v>
      </c>
      <c r="VP54" s="4">
        <v>0</v>
      </c>
      <c r="VQ54" s="4">
        <v>0</v>
      </c>
      <c r="VR54" s="4">
        <v>0</v>
      </c>
      <c r="VS54" s="4">
        <v>2</v>
      </c>
      <c r="VT54" s="4">
        <v>0</v>
      </c>
      <c r="VU54" s="4">
        <v>0</v>
      </c>
      <c r="VV54" s="4">
        <v>0</v>
      </c>
      <c r="VW54" s="4">
        <v>0</v>
      </c>
      <c r="VX54" s="4">
        <v>0</v>
      </c>
      <c r="VY54" s="4">
        <v>0</v>
      </c>
      <c r="VZ54" s="4">
        <v>0</v>
      </c>
      <c r="WA54" s="4">
        <v>0</v>
      </c>
      <c r="WB54" s="4">
        <v>0</v>
      </c>
      <c r="WC54" s="4">
        <v>0</v>
      </c>
      <c r="WD54" s="4">
        <v>0</v>
      </c>
      <c r="WE54" s="4">
        <v>0</v>
      </c>
      <c r="WF54" s="4">
        <v>0</v>
      </c>
      <c r="WG54" s="4">
        <v>0</v>
      </c>
      <c r="WH54" s="4">
        <v>0</v>
      </c>
      <c r="WI54" s="4">
        <v>0</v>
      </c>
      <c r="WJ54" s="4">
        <v>0</v>
      </c>
      <c r="WK54" s="4">
        <v>0</v>
      </c>
      <c r="WL54" s="4">
        <v>0</v>
      </c>
      <c r="WM54" s="4">
        <v>0</v>
      </c>
      <c r="WN54" s="4">
        <v>0</v>
      </c>
      <c r="WO54" s="4">
        <v>0</v>
      </c>
      <c r="WP54" s="4">
        <v>0</v>
      </c>
      <c r="WQ54" s="4">
        <v>0</v>
      </c>
      <c r="WR54" s="4">
        <v>0</v>
      </c>
      <c r="WS54" s="4">
        <v>0</v>
      </c>
      <c r="WT54" s="4">
        <v>2</v>
      </c>
      <c r="WU54" s="4">
        <v>0</v>
      </c>
      <c r="WV54" s="4">
        <v>0</v>
      </c>
      <c r="WW54" s="4">
        <v>0</v>
      </c>
      <c r="WX54" s="4">
        <v>0</v>
      </c>
      <c r="WY54" s="4">
        <v>0</v>
      </c>
      <c r="WZ54" s="4">
        <v>0</v>
      </c>
      <c r="XA54" s="4">
        <v>0</v>
      </c>
      <c r="XB54" s="4">
        <v>0</v>
      </c>
      <c r="XC54" s="4">
        <v>0</v>
      </c>
      <c r="XD54" s="4">
        <v>0</v>
      </c>
      <c r="XE54" s="4">
        <v>0</v>
      </c>
      <c r="XF54" s="4">
        <v>0</v>
      </c>
      <c r="XG54" s="4">
        <v>2</v>
      </c>
      <c r="XH54" s="4">
        <v>0</v>
      </c>
      <c r="XI54" s="4">
        <v>2</v>
      </c>
      <c r="XJ54" s="4">
        <v>0</v>
      </c>
      <c r="XK54" s="4">
        <v>0</v>
      </c>
      <c r="XL54" s="4">
        <v>0</v>
      </c>
      <c r="XM54" s="4">
        <v>0</v>
      </c>
      <c r="XN54" s="4">
        <v>0</v>
      </c>
      <c r="XO54" s="4">
        <v>0</v>
      </c>
      <c r="XP54" s="4">
        <v>0</v>
      </c>
      <c r="XQ54" s="4">
        <v>0</v>
      </c>
      <c r="XR54" s="4">
        <v>0</v>
      </c>
      <c r="XS54" s="4">
        <v>0</v>
      </c>
      <c r="XT54" s="4">
        <v>0</v>
      </c>
      <c r="XU54" s="4">
        <v>0</v>
      </c>
      <c r="XV54" s="4">
        <v>2</v>
      </c>
      <c r="XW54" s="4">
        <v>0</v>
      </c>
      <c r="XX54" s="4">
        <v>0</v>
      </c>
      <c r="XY54" s="4">
        <v>0</v>
      </c>
      <c r="XZ54" s="4">
        <v>0</v>
      </c>
      <c r="YA54" s="4">
        <v>0</v>
      </c>
      <c r="YB54" s="4">
        <v>0</v>
      </c>
      <c r="YC54" s="4">
        <v>0</v>
      </c>
      <c r="YD54" s="4">
        <v>0</v>
      </c>
      <c r="YE54" s="4">
        <v>0</v>
      </c>
      <c r="YF54" s="4">
        <v>0</v>
      </c>
      <c r="YG54" s="4">
        <v>0</v>
      </c>
      <c r="YH54" s="4">
        <v>5</v>
      </c>
      <c r="YI54" s="4">
        <v>0</v>
      </c>
      <c r="YJ54" s="4">
        <v>0</v>
      </c>
      <c r="YK54" s="4">
        <v>0</v>
      </c>
      <c r="YL54" s="4">
        <v>0</v>
      </c>
      <c r="YM54" s="4">
        <v>0</v>
      </c>
      <c r="YN54" s="4">
        <v>0</v>
      </c>
      <c r="YO54" s="4">
        <v>0</v>
      </c>
      <c r="YP54" s="4">
        <v>0</v>
      </c>
      <c r="YQ54" s="4">
        <v>0</v>
      </c>
      <c r="YR54" s="4">
        <v>0</v>
      </c>
      <c r="YS54" s="4">
        <v>0</v>
      </c>
      <c r="YT54" s="4">
        <v>0</v>
      </c>
      <c r="YU54" s="4">
        <v>0</v>
      </c>
      <c r="YV54" s="4">
        <v>0</v>
      </c>
      <c r="YW54" s="4">
        <v>0</v>
      </c>
      <c r="YX54" s="4">
        <v>0</v>
      </c>
      <c r="YY54" s="4">
        <v>0</v>
      </c>
      <c r="YZ54" s="4">
        <v>0</v>
      </c>
      <c r="ZA54" s="4">
        <v>0</v>
      </c>
      <c r="ZB54" s="4">
        <v>0</v>
      </c>
      <c r="ZC54" s="4">
        <v>0</v>
      </c>
      <c r="ZD54" s="4">
        <v>0</v>
      </c>
      <c r="ZE54" s="4">
        <v>0</v>
      </c>
      <c r="ZF54" s="4">
        <v>0</v>
      </c>
      <c r="ZG54" s="4">
        <v>0</v>
      </c>
      <c r="ZH54" s="4">
        <v>0</v>
      </c>
      <c r="ZI54" s="4">
        <v>0</v>
      </c>
      <c r="ZJ54" s="4">
        <v>0</v>
      </c>
      <c r="ZK54" s="4">
        <v>0</v>
      </c>
      <c r="ZL54" s="4">
        <v>0</v>
      </c>
      <c r="ZM54" s="4">
        <v>0</v>
      </c>
      <c r="ZN54" s="4">
        <v>0</v>
      </c>
      <c r="ZO54" s="4">
        <v>0</v>
      </c>
      <c r="ZP54" s="4">
        <v>0</v>
      </c>
      <c r="ZQ54" s="4">
        <v>0</v>
      </c>
      <c r="ZR54" s="4">
        <v>0</v>
      </c>
      <c r="ZS54" s="4">
        <v>0</v>
      </c>
      <c r="ZT54" s="4">
        <v>0</v>
      </c>
      <c r="ZU54" s="4">
        <v>0</v>
      </c>
      <c r="ZV54" s="4">
        <v>0</v>
      </c>
      <c r="ZW54" s="4">
        <v>0</v>
      </c>
      <c r="ZX54" s="4">
        <v>0</v>
      </c>
      <c r="ZY54" s="4">
        <v>0</v>
      </c>
      <c r="ZZ54" s="4">
        <v>0</v>
      </c>
      <c r="AAA54" s="4">
        <v>0</v>
      </c>
      <c r="AAB54" s="4">
        <v>0</v>
      </c>
      <c r="AAC54" s="4">
        <v>0</v>
      </c>
      <c r="AAD54" s="4">
        <v>0</v>
      </c>
      <c r="AAE54" s="4">
        <v>0</v>
      </c>
      <c r="AAF54" s="4">
        <v>0</v>
      </c>
      <c r="AAG54" s="4">
        <v>0</v>
      </c>
      <c r="AAH54" s="4">
        <v>0</v>
      </c>
      <c r="AAI54" s="4">
        <v>0</v>
      </c>
      <c r="AAJ54" s="4">
        <v>0</v>
      </c>
      <c r="AAK54" s="4">
        <v>0</v>
      </c>
      <c r="AAL54" s="4">
        <v>0</v>
      </c>
      <c r="AAM54" s="4">
        <v>0</v>
      </c>
      <c r="AAN54" s="4">
        <v>0</v>
      </c>
      <c r="AAO54" s="4">
        <v>0</v>
      </c>
      <c r="AAP54" s="4">
        <v>0</v>
      </c>
      <c r="AAQ54" s="4">
        <v>0</v>
      </c>
      <c r="AAR54" s="4">
        <v>0</v>
      </c>
      <c r="AAS54" s="4">
        <v>0</v>
      </c>
      <c r="AAT54" s="4">
        <v>0</v>
      </c>
      <c r="AAU54" s="4">
        <v>0</v>
      </c>
      <c r="AAV54" s="4">
        <v>0</v>
      </c>
      <c r="AAW54" s="4">
        <v>0</v>
      </c>
      <c r="AAX54" s="4">
        <v>0</v>
      </c>
      <c r="AAY54" s="4">
        <v>0</v>
      </c>
      <c r="AAZ54" s="4">
        <v>0</v>
      </c>
      <c r="ABA54" s="4">
        <v>0</v>
      </c>
      <c r="ABB54" s="4">
        <v>0</v>
      </c>
      <c r="ABC54" s="4">
        <v>0</v>
      </c>
      <c r="ABD54" s="4">
        <v>0</v>
      </c>
      <c r="ABE54" s="4">
        <v>0</v>
      </c>
      <c r="ABF54" s="4">
        <v>0</v>
      </c>
      <c r="ABG54" s="4">
        <v>0</v>
      </c>
      <c r="ABH54" s="4">
        <v>0</v>
      </c>
      <c r="ABI54" s="4">
        <v>0</v>
      </c>
      <c r="ABJ54" s="4">
        <v>0</v>
      </c>
      <c r="ABK54" s="4">
        <v>0</v>
      </c>
      <c r="ABL54" s="4">
        <v>0</v>
      </c>
      <c r="ABM54" s="4">
        <v>0</v>
      </c>
      <c r="ABN54" s="4">
        <v>0</v>
      </c>
      <c r="ABO54" s="4">
        <v>0</v>
      </c>
      <c r="ABP54" s="4">
        <v>0</v>
      </c>
      <c r="ABQ54" s="4">
        <v>0</v>
      </c>
      <c r="ABR54" s="4">
        <v>0</v>
      </c>
      <c r="ABS54" s="4">
        <v>0</v>
      </c>
      <c r="ABT54" s="4">
        <v>0</v>
      </c>
      <c r="ABU54" s="4">
        <v>0</v>
      </c>
      <c r="ABV54" s="4">
        <v>0</v>
      </c>
      <c r="ABW54" s="4">
        <v>0</v>
      </c>
      <c r="ABX54" s="4">
        <v>0</v>
      </c>
      <c r="ABY54" s="4">
        <v>0</v>
      </c>
      <c r="ABZ54" s="4">
        <v>0</v>
      </c>
      <c r="ACA54" s="4">
        <v>0</v>
      </c>
      <c r="ACB54" s="4">
        <v>0</v>
      </c>
      <c r="ACC54" s="4">
        <v>0</v>
      </c>
      <c r="ACD54" s="4">
        <v>0</v>
      </c>
      <c r="ACE54" s="4">
        <v>0</v>
      </c>
      <c r="ACF54" s="4">
        <v>0</v>
      </c>
      <c r="ACG54" s="4">
        <v>0</v>
      </c>
      <c r="ACH54" s="4">
        <v>0</v>
      </c>
      <c r="ACI54" s="4">
        <v>0</v>
      </c>
      <c r="ACJ54" s="4">
        <v>0</v>
      </c>
      <c r="ACK54" s="4">
        <v>0</v>
      </c>
      <c r="ACL54" s="4">
        <v>0</v>
      </c>
      <c r="ACM54" s="4">
        <v>0</v>
      </c>
      <c r="ACN54" s="4">
        <v>0</v>
      </c>
      <c r="ACO54" s="4">
        <v>0</v>
      </c>
      <c r="ACP54" s="4">
        <v>0</v>
      </c>
      <c r="ACQ54" s="4">
        <v>0</v>
      </c>
      <c r="ACR54" s="4">
        <v>0</v>
      </c>
      <c r="ACS54" s="4">
        <v>0</v>
      </c>
      <c r="ACT54" s="4">
        <v>0</v>
      </c>
      <c r="ACU54" s="4">
        <v>0</v>
      </c>
      <c r="ACV54" s="4">
        <v>0</v>
      </c>
      <c r="ACW54" s="4">
        <v>0</v>
      </c>
      <c r="ACX54" s="4">
        <v>0</v>
      </c>
      <c r="ACY54" s="4">
        <v>0</v>
      </c>
      <c r="ACZ54" s="4">
        <v>0</v>
      </c>
      <c r="ADA54" s="4">
        <v>0</v>
      </c>
      <c r="ADB54" s="4">
        <v>0</v>
      </c>
      <c r="ADC54" s="4">
        <v>0</v>
      </c>
      <c r="ADD54" s="4">
        <v>0</v>
      </c>
      <c r="ADE54" s="4">
        <v>0</v>
      </c>
      <c r="ADF54" s="4">
        <v>0</v>
      </c>
      <c r="ADG54" s="4">
        <v>0</v>
      </c>
      <c r="ADH54" s="4">
        <v>0</v>
      </c>
      <c r="ADI54" s="4">
        <v>0</v>
      </c>
      <c r="ADJ54" s="4">
        <v>0</v>
      </c>
      <c r="ADK54" s="4">
        <v>0</v>
      </c>
      <c r="ADL54" s="4">
        <v>0</v>
      </c>
      <c r="ADM54" s="4">
        <v>0</v>
      </c>
      <c r="ADN54" s="4">
        <v>0</v>
      </c>
      <c r="ADO54" s="4">
        <v>0</v>
      </c>
      <c r="ADP54" s="4">
        <v>0</v>
      </c>
      <c r="ADQ54" s="4">
        <v>0</v>
      </c>
      <c r="ADR54" s="4">
        <v>0</v>
      </c>
      <c r="ADS54" s="4">
        <v>0</v>
      </c>
      <c r="ADT54" s="4">
        <v>0</v>
      </c>
      <c r="ADU54" s="4">
        <v>0</v>
      </c>
      <c r="ADV54" s="4">
        <v>0</v>
      </c>
      <c r="ADW54" s="4">
        <v>0</v>
      </c>
      <c r="ADX54" s="4">
        <v>0</v>
      </c>
      <c r="ADY54" s="4">
        <v>0</v>
      </c>
      <c r="ADZ54" s="4">
        <v>0</v>
      </c>
      <c r="AEA54" s="4">
        <v>0</v>
      </c>
      <c r="AEB54" s="4">
        <v>0</v>
      </c>
      <c r="AEC54" s="4">
        <v>0</v>
      </c>
      <c r="AED54" s="4">
        <v>0</v>
      </c>
      <c r="AEE54" s="4">
        <v>0</v>
      </c>
      <c r="AEF54" s="4">
        <v>0</v>
      </c>
      <c r="AEG54" s="4">
        <v>0</v>
      </c>
      <c r="AEH54" s="4">
        <v>0</v>
      </c>
      <c r="AEI54" s="4">
        <v>0</v>
      </c>
      <c r="AEJ54" s="4">
        <v>0</v>
      </c>
      <c r="AEK54" s="4">
        <v>0</v>
      </c>
      <c r="AEL54" s="4">
        <v>0</v>
      </c>
      <c r="AEM54" s="4">
        <v>0</v>
      </c>
      <c r="AEN54" s="4">
        <v>0</v>
      </c>
      <c r="AEO54" s="4">
        <v>0</v>
      </c>
      <c r="AEP54" s="4">
        <v>0</v>
      </c>
      <c r="AEQ54" s="4">
        <v>0</v>
      </c>
      <c r="AER54" s="4">
        <v>0</v>
      </c>
      <c r="AES54" s="4">
        <v>0</v>
      </c>
      <c r="AET54" s="4">
        <v>0</v>
      </c>
      <c r="AEU54" s="4">
        <v>0</v>
      </c>
      <c r="AEV54" s="4">
        <v>0</v>
      </c>
      <c r="AEW54" s="4">
        <v>0</v>
      </c>
      <c r="AEX54" s="4">
        <v>0</v>
      </c>
      <c r="AEY54" s="4">
        <v>0</v>
      </c>
      <c r="AEZ54" s="4">
        <v>0</v>
      </c>
      <c r="AFA54" s="4">
        <v>0</v>
      </c>
      <c r="AFB54" s="4">
        <v>0</v>
      </c>
      <c r="AFC54" s="4">
        <v>0</v>
      </c>
      <c r="AFD54" s="4">
        <v>0</v>
      </c>
      <c r="AFE54" s="4">
        <v>0</v>
      </c>
      <c r="AFF54" s="4">
        <v>0</v>
      </c>
      <c r="AFG54" s="4">
        <v>0</v>
      </c>
      <c r="AFH54" s="4">
        <v>0</v>
      </c>
      <c r="AFI54" s="4">
        <v>0</v>
      </c>
      <c r="AFJ54" s="4">
        <v>0</v>
      </c>
      <c r="AFK54" s="4">
        <v>0</v>
      </c>
      <c r="AFL54" s="4">
        <v>0</v>
      </c>
      <c r="AFM54" s="4">
        <v>0</v>
      </c>
      <c r="AFN54" s="4">
        <v>5</v>
      </c>
      <c r="AFO54" s="4">
        <v>26</v>
      </c>
      <c r="AFP54" s="4">
        <v>17</v>
      </c>
      <c r="AFQ54" s="4">
        <v>15</v>
      </c>
      <c r="AFR54" s="4">
        <v>6</v>
      </c>
      <c r="AFS54" s="4">
        <v>0</v>
      </c>
      <c r="AFT54" s="4">
        <v>0</v>
      </c>
      <c r="AFU54" s="4">
        <v>10</v>
      </c>
      <c r="AFV54" s="4">
        <v>2</v>
      </c>
      <c r="AFW54" s="4">
        <v>3</v>
      </c>
      <c r="AFX54" s="4">
        <v>2</v>
      </c>
      <c r="AFY54" s="4">
        <v>298</v>
      </c>
      <c r="AFZ54" s="4">
        <v>342</v>
      </c>
      <c r="AGA54" s="4">
        <v>1</v>
      </c>
      <c r="AGB54" s="4">
        <v>44</v>
      </c>
      <c r="AGC54" s="4">
        <v>3</v>
      </c>
      <c r="AGD54" s="4" t="s">
        <v>1680</v>
      </c>
      <c r="AGE54" s="4">
        <v>11</v>
      </c>
      <c r="AGF54" s="4" t="s">
        <v>1678</v>
      </c>
      <c r="AGG54" s="4">
        <v>11</v>
      </c>
      <c r="AGH54" s="4">
        <v>13</v>
      </c>
      <c r="AGI54" s="4">
        <v>4</v>
      </c>
      <c r="AGJ54" s="4">
        <v>0</v>
      </c>
      <c r="AGK54" s="4">
        <v>0</v>
      </c>
      <c r="AGL54" s="4">
        <v>0</v>
      </c>
      <c r="AGM54" s="4">
        <v>0</v>
      </c>
      <c r="AGN54" s="4">
        <v>0</v>
      </c>
      <c r="AGO54" s="4">
        <v>0</v>
      </c>
      <c r="AGP54" s="4">
        <v>0</v>
      </c>
      <c r="AGQ54" s="4">
        <v>0</v>
      </c>
      <c r="AGR54" s="4">
        <v>1.1299999999999999</v>
      </c>
      <c r="AGS54" s="4">
        <v>0</v>
      </c>
      <c r="AGT54" s="4">
        <v>0</v>
      </c>
      <c r="AGU54" s="4">
        <v>0</v>
      </c>
      <c r="AGV54" s="4">
        <v>0</v>
      </c>
      <c r="AGW54" s="4">
        <v>0</v>
      </c>
      <c r="AGX54" s="4">
        <v>0</v>
      </c>
      <c r="AGY54" s="4">
        <v>0</v>
      </c>
      <c r="AGZ54" s="4">
        <v>0</v>
      </c>
      <c r="AHA54" s="4">
        <v>6</v>
      </c>
      <c r="AHB54" s="4">
        <v>5</v>
      </c>
      <c r="AHC54" s="4">
        <v>0</v>
      </c>
      <c r="AHD54" s="4">
        <v>0</v>
      </c>
      <c r="AHE54" s="4">
        <v>0</v>
      </c>
      <c r="AHF54" s="4">
        <v>0</v>
      </c>
      <c r="AHG54" s="4">
        <v>0</v>
      </c>
      <c r="AHH54" s="4">
        <v>0</v>
      </c>
      <c r="AHI54" s="4">
        <v>0</v>
      </c>
      <c r="AHJ54" s="4">
        <v>0</v>
      </c>
      <c r="AHK54" s="4">
        <v>0</v>
      </c>
      <c r="AHL54" s="4">
        <v>0</v>
      </c>
      <c r="AHM54" s="4">
        <v>0</v>
      </c>
      <c r="AHN54" s="4">
        <v>0</v>
      </c>
      <c r="AHO54" s="4">
        <v>0</v>
      </c>
      <c r="AHP54" s="4">
        <v>0</v>
      </c>
      <c r="AHQ54" s="4">
        <v>0</v>
      </c>
      <c r="AHR54" s="4">
        <v>0</v>
      </c>
      <c r="AHS54" s="4">
        <v>0</v>
      </c>
      <c r="AHT54" s="4">
        <v>0</v>
      </c>
      <c r="AHU54" s="4">
        <v>0</v>
      </c>
      <c r="AHV54" s="4">
        <v>0</v>
      </c>
      <c r="AHW54" s="4">
        <v>0</v>
      </c>
      <c r="AHX54" s="4">
        <v>0</v>
      </c>
      <c r="AHY54" s="4">
        <v>0</v>
      </c>
      <c r="AHZ54" s="4">
        <v>0</v>
      </c>
      <c r="AIA54" s="4">
        <v>0</v>
      </c>
      <c r="AIB54" s="4">
        <v>0</v>
      </c>
      <c r="AIC54" s="4">
        <v>0</v>
      </c>
      <c r="AID54" s="4">
        <v>0</v>
      </c>
      <c r="AIE54" s="4">
        <v>0</v>
      </c>
      <c r="AIF54" s="4">
        <v>0</v>
      </c>
      <c r="AIG54" s="4">
        <v>0</v>
      </c>
      <c r="AIH54" s="4">
        <v>0</v>
      </c>
      <c r="AII54" s="4">
        <v>0</v>
      </c>
      <c r="AIJ54" s="4">
        <v>0</v>
      </c>
      <c r="AIK54" s="4">
        <v>0</v>
      </c>
      <c r="AIL54" s="4">
        <v>0</v>
      </c>
      <c r="AIM54" s="4">
        <v>0</v>
      </c>
      <c r="AIN54" s="4">
        <v>0</v>
      </c>
      <c r="AIO54" s="4">
        <v>0</v>
      </c>
      <c r="AIP54" s="4">
        <v>0</v>
      </c>
      <c r="AIQ54" s="4">
        <v>0</v>
      </c>
      <c r="AIR54" s="4">
        <v>0</v>
      </c>
      <c r="AIS54" s="4">
        <v>0</v>
      </c>
      <c r="AIT54" s="4">
        <v>0</v>
      </c>
      <c r="AIU54" s="4">
        <v>1</v>
      </c>
      <c r="AIV54" s="4">
        <v>1</v>
      </c>
      <c r="AIW54" s="4">
        <v>0</v>
      </c>
      <c r="AIX54" s="4">
        <v>0</v>
      </c>
      <c r="AIY54" s="4">
        <v>0</v>
      </c>
      <c r="AIZ54" s="4">
        <v>0</v>
      </c>
      <c r="AJA54" s="4">
        <v>0</v>
      </c>
      <c r="AJB54" s="4">
        <v>0</v>
      </c>
      <c r="AJC54" s="4">
        <v>2</v>
      </c>
      <c r="AJD54" s="4">
        <v>0</v>
      </c>
      <c r="AJE54" s="4">
        <v>0</v>
      </c>
      <c r="AJF54" s="4">
        <v>0</v>
      </c>
      <c r="AJG54" s="4">
        <v>0</v>
      </c>
      <c r="AJH54" s="4">
        <v>0</v>
      </c>
      <c r="AJI54" s="4">
        <v>0</v>
      </c>
      <c r="AJJ54" s="4">
        <v>0</v>
      </c>
      <c r="AJK54" s="4">
        <v>0</v>
      </c>
      <c r="AJL54" s="4">
        <v>0</v>
      </c>
      <c r="AJM54" s="4">
        <v>0</v>
      </c>
      <c r="AJN54" s="4">
        <v>0</v>
      </c>
      <c r="AJO54" s="4">
        <v>0</v>
      </c>
      <c r="AJP54" s="4">
        <v>0</v>
      </c>
      <c r="AJQ54" s="4">
        <v>0</v>
      </c>
      <c r="AJR54" s="4">
        <v>0</v>
      </c>
      <c r="AJS54" s="4">
        <v>0</v>
      </c>
      <c r="AJT54" s="4">
        <v>0</v>
      </c>
      <c r="AJU54" s="4">
        <v>0</v>
      </c>
      <c r="AJV54" s="4">
        <v>0</v>
      </c>
      <c r="AJW54" s="4">
        <v>0</v>
      </c>
      <c r="AJX54" s="4">
        <v>0</v>
      </c>
      <c r="AJY54" s="4">
        <v>0</v>
      </c>
      <c r="AJZ54" s="4">
        <v>0</v>
      </c>
      <c r="AKA54" s="4">
        <v>0</v>
      </c>
      <c r="AKB54" s="4">
        <v>0</v>
      </c>
      <c r="AKC54" s="4">
        <v>0</v>
      </c>
      <c r="AKD54" s="4">
        <v>0</v>
      </c>
      <c r="AKE54" s="4">
        <v>0</v>
      </c>
      <c r="AKF54" s="4">
        <v>0</v>
      </c>
      <c r="AKG54" s="4">
        <v>0</v>
      </c>
      <c r="AKH54" s="4">
        <v>0</v>
      </c>
      <c r="AKI54" s="4">
        <v>0</v>
      </c>
      <c r="AKJ54" s="4">
        <v>0</v>
      </c>
      <c r="AKK54" s="4">
        <v>0</v>
      </c>
      <c r="AKL54" s="4">
        <v>0</v>
      </c>
      <c r="AKM54" s="4">
        <v>1</v>
      </c>
      <c r="AKN54" s="4">
        <v>0</v>
      </c>
      <c r="AKO54" s="4">
        <v>0</v>
      </c>
      <c r="AKP54" s="4">
        <v>0</v>
      </c>
      <c r="AKQ54" s="4">
        <v>0</v>
      </c>
      <c r="AKR54" s="4">
        <v>0</v>
      </c>
      <c r="AKS54" s="4">
        <v>2</v>
      </c>
      <c r="AKT54" s="4">
        <v>0</v>
      </c>
      <c r="AKU54" s="4">
        <v>0</v>
      </c>
      <c r="AKV54" s="4">
        <v>0</v>
      </c>
      <c r="AKW54" s="4">
        <v>0</v>
      </c>
      <c r="AKX54" s="4">
        <v>0</v>
      </c>
      <c r="AKY54" s="4">
        <v>0</v>
      </c>
      <c r="AKZ54" s="4">
        <v>5</v>
      </c>
      <c r="ALA54" s="4">
        <v>0</v>
      </c>
      <c r="ALB54" s="4">
        <v>0</v>
      </c>
      <c r="ALC54" s="4">
        <v>0</v>
      </c>
      <c r="ALD54" s="4">
        <v>0</v>
      </c>
      <c r="ALE54" s="4">
        <v>3</v>
      </c>
      <c r="ALF54" s="4">
        <v>0</v>
      </c>
      <c r="ALG54" s="4">
        <v>3</v>
      </c>
      <c r="ALH54" s="4">
        <v>0</v>
      </c>
      <c r="ALI54" s="4">
        <v>0</v>
      </c>
      <c r="ALJ54" s="4">
        <v>0</v>
      </c>
      <c r="ALK54" s="4">
        <v>0</v>
      </c>
      <c r="ALL54" s="4">
        <v>0</v>
      </c>
      <c r="ALM54" s="4">
        <v>0</v>
      </c>
      <c r="ALN54" s="4">
        <v>0</v>
      </c>
      <c r="ALO54" s="4">
        <v>0</v>
      </c>
      <c r="ALP54" s="4">
        <v>0</v>
      </c>
      <c r="ALQ54" s="4">
        <v>0</v>
      </c>
      <c r="ALR54" s="4">
        <v>6</v>
      </c>
      <c r="ALS54" s="4">
        <v>0</v>
      </c>
      <c r="ALT54" s="4">
        <v>0</v>
      </c>
      <c r="ALU54" s="4">
        <v>0</v>
      </c>
      <c r="ALV54" s="4">
        <v>0</v>
      </c>
      <c r="ALW54" s="4">
        <v>0</v>
      </c>
      <c r="ALX54" s="4">
        <v>0</v>
      </c>
      <c r="ALY54" s="4">
        <v>0</v>
      </c>
      <c r="ALZ54" s="4">
        <v>0</v>
      </c>
      <c r="AMA54" s="4">
        <v>1</v>
      </c>
      <c r="AMB54" s="4">
        <v>0</v>
      </c>
      <c r="AMC54" s="4">
        <v>0</v>
      </c>
      <c r="AMD54" s="4">
        <v>0</v>
      </c>
      <c r="AME54" s="4">
        <v>0</v>
      </c>
      <c r="AMF54" s="4">
        <v>0</v>
      </c>
      <c r="AMG54" s="4">
        <v>0</v>
      </c>
      <c r="AMH54" s="4">
        <v>0</v>
      </c>
      <c r="AMI54" s="4">
        <v>0</v>
      </c>
      <c r="AMJ54" s="4">
        <v>0</v>
      </c>
      <c r="AMK54" s="4">
        <v>0</v>
      </c>
      <c r="AML54" s="4">
        <v>0</v>
      </c>
      <c r="AMM54" s="4">
        <v>0</v>
      </c>
      <c r="AMN54" s="4">
        <v>0</v>
      </c>
      <c r="AMO54" s="4">
        <v>0</v>
      </c>
      <c r="AMP54" s="4">
        <v>0</v>
      </c>
      <c r="AMQ54" s="4">
        <v>0</v>
      </c>
      <c r="AMR54" s="4">
        <v>0</v>
      </c>
      <c r="AMS54" s="4">
        <v>3</v>
      </c>
      <c r="AMT54" s="4">
        <v>0</v>
      </c>
      <c r="AMU54" s="4">
        <v>0</v>
      </c>
      <c r="AMV54" s="4">
        <v>0</v>
      </c>
      <c r="AMW54" s="4">
        <v>0</v>
      </c>
      <c r="AMX54" s="4">
        <v>0</v>
      </c>
      <c r="AMY54" s="4">
        <v>0</v>
      </c>
      <c r="AMZ54" s="4">
        <v>0</v>
      </c>
      <c r="ANA54" s="4">
        <v>0</v>
      </c>
      <c r="ANB54" s="4">
        <v>0</v>
      </c>
      <c r="ANC54" s="4">
        <v>0</v>
      </c>
      <c r="AND54" s="4">
        <v>0</v>
      </c>
      <c r="ANE54" s="4">
        <v>0</v>
      </c>
      <c r="ANF54" s="4">
        <v>0</v>
      </c>
      <c r="ANG54" s="4">
        <v>0</v>
      </c>
      <c r="ANH54" s="4">
        <v>2</v>
      </c>
      <c r="ANI54" s="4">
        <v>0</v>
      </c>
      <c r="ANJ54" s="4">
        <v>0</v>
      </c>
      <c r="ANK54" s="4">
        <v>0</v>
      </c>
      <c r="ANL54" s="4">
        <v>0</v>
      </c>
      <c r="ANM54" s="4">
        <v>0</v>
      </c>
      <c r="ANN54" s="4">
        <v>0</v>
      </c>
      <c r="ANO54" s="4">
        <v>0</v>
      </c>
      <c r="ANP54" s="4">
        <v>0</v>
      </c>
      <c r="ANQ54" s="4">
        <v>0</v>
      </c>
      <c r="ANR54" s="4">
        <v>0</v>
      </c>
      <c r="ANS54" s="4">
        <v>0</v>
      </c>
      <c r="ANT54" s="4">
        <v>0</v>
      </c>
      <c r="ANU54" s="4">
        <v>3</v>
      </c>
      <c r="ANV54" s="4">
        <v>0</v>
      </c>
      <c r="ANW54" s="4">
        <v>0</v>
      </c>
      <c r="ANX54" s="4">
        <v>0</v>
      </c>
      <c r="ANY54" s="4">
        <v>0</v>
      </c>
      <c r="ANZ54" s="4">
        <v>0</v>
      </c>
      <c r="AOA54" s="4">
        <v>0</v>
      </c>
      <c r="AOB54" s="4">
        <v>0</v>
      </c>
      <c r="AOC54" s="4">
        <v>0</v>
      </c>
      <c r="AOD54" s="4">
        <v>0</v>
      </c>
      <c r="AOE54" s="4">
        <v>0</v>
      </c>
      <c r="AOF54" s="4">
        <v>0</v>
      </c>
      <c r="AOG54" s="4">
        <v>0</v>
      </c>
      <c r="AOH54" s="4">
        <v>0</v>
      </c>
      <c r="AOI54" s="4">
        <v>0</v>
      </c>
      <c r="AOJ54" s="4">
        <v>0</v>
      </c>
      <c r="AOK54" s="4">
        <v>0</v>
      </c>
      <c r="AOL54" s="4">
        <v>0</v>
      </c>
      <c r="AOM54" s="4">
        <v>0</v>
      </c>
      <c r="AON54" s="4">
        <v>0</v>
      </c>
      <c r="AOO54" s="4">
        <v>0</v>
      </c>
      <c r="AOP54" s="4">
        <v>0</v>
      </c>
      <c r="AOQ54" s="4">
        <v>0</v>
      </c>
      <c r="AOR54" s="4">
        <v>0</v>
      </c>
      <c r="AOS54" s="4">
        <v>0</v>
      </c>
      <c r="AOT54" s="4">
        <v>0</v>
      </c>
      <c r="AOU54" s="4">
        <v>0</v>
      </c>
      <c r="AOV54" s="4">
        <v>0</v>
      </c>
      <c r="AOW54" s="4">
        <v>0</v>
      </c>
      <c r="AOX54" s="4">
        <v>0</v>
      </c>
      <c r="AOY54" s="4">
        <v>0</v>
      </c>
      <c r="AOZ54" s="4">
        <v>0</v>
      </c>
      <c r="APA54" s="4">
        <v>0</v>
      </c>
      <c r="APB54" s="4">
        <v>0</v>
      </c>
      <c r="APC54" s="4">
        <v>0</v>
      </c>
      <c r="APD54" s="4">
        <v>0</v>
      </c>
      <c r="APE54" s="4">
        <v>0</v>
      </c>
      <c r="APF54" s="4">
        <v>0</v>
      </c>
      <c r="APG54" s="4">
        <v>0</v>
      </c>
      <c r="APH54" s="4">
        <v>0</v>
      </c>
      <c r="API54" s="4">
        <v>0</v>
      </c>
      <c r="APJ54" s="4">
        <v>0</v>
      </c>
      <c r="APK54" s="4">
        <v>0</v>
      </c>
      <c r="APL54" s="4">
        <v>0</v>
      </c>
      <c r="APM54" s="4">
        <v>0</v>
      </c>
      <c r="APN54" s="4">
        <v>0</v>
      </c>
      <c r="APO54" s="4">
        <v>0</v>
      </c>
      <c r="APP54" s="4">
        <v>0</v>
      </c>
      <c r="APQ54" s="4">
        <v>0</v>
      </c>
      <c r="APR54" s="4">
        <v>0</v>
      </c>
      <c r="APS54" s="4">
        <v>0</v>
      </c>
      <c r="APT54" s="4">
        <v>0</v>
      </c>
      <c r="APU54" s="4">
        <v>0</v>
      </c>
      <c r="APV54" s="4">
        <v>0</v>
      </c>
      <c r="APW54" s="4">
        <v>0</v>
      </c>
      <c r="APX54" s="4">
        <v>0</v>
      </c>
      <c r="APY54" s="4">
        <v>0</v>
      </c>
      <c r="APZ54" s="4">
        <v>0</v>
      </c>
      <c r="AQA54" s="4">
        <v>0</v>
      </c>
      <c r="AQB54" s="4">
        <v>0</v>
      </c>
      <c r="AQC54" s="4">
        <v>0</v>
      </c>
      <c r="AQD54" s="4">
        <v>0</v>
      </c>
      <c r="AQE54" s="4">
        <v>0</v>
      </c>
      <c r="AQF54" s="4">
        <v>0</v>
      </c>
      <c r="AQG54" s="4">
        <v>0</v>
      </c>
      <c r="AQH54" s="4">
        <v>0</v>
      </c>
      <c r="AQI54" s="4">
        <v>0</v>
      </c>
      <c r="AQJ54" s="4">
        <v>0</v>
      </c>
      <c r="AQK54" s="4">
        <v>0</v>
      </c>
      <c r="AQL54" s="4">
        <v>0</v>
      </c>
      <c r="AQM54" s="4">
        <v>0</v>
      </c>
      <c r="AQN54" s="4">
        <v>0</v>
      </c>
      <c r="AQO54" s="4">
        <v>0</v>
      </c>
      <c r="AQP54" s="4">
        <v>0</v>
      </c>
      <c r="AQQ54" s="4">
        <v>0</v>
      </c>
      <c r="AQR54" s="4">
        <v>0</v>
      </c>
      <c r="AQS54" s="4">
        <v>0</v>
      </c>
      <c r="AQT54" s="4">
        <v>0</v>
      </c>
      <c r="AQU54" s="4">
        <v>0</v>
      </c>
      <c r="AQV54" s="4">
        <v>0</v>
      </c>
      <c r="AQW54" s="4">
        <v>0</v>
      </c>
      <c r="AQX54" s="4">
        <v>0</v>
      </c>
      <c r="AQY54" s="4">
        <v>0</v>
      </c>
      <c r="AQZ54" s="4">
        <v>0</v>
      </c>
      <c r="ARA54" s="4">
        <v>0</v>
      </c>
      <c r="ARB54" s="4">
        <v>0</v>
      </c>
      <c r="ARC54" s="4">
        <v>0</v>
      </c>
      <c r="ARD54" s="4">
        <v>0</v>
      </c>
      <c r="ARE54" s="4">
        <v>0</v>
      </c>
      <c r="ARF54" s="4">
        <v>0</v>
      </c>
      <c r="ARG54" s="4">
        <v>0</v>
      </c>
      <c r="ARH54" s="4">
        <v>0</v>
      </c>
      <c r="ARI54" s="4">
        <v>0</v>
      </c>
      <c r="ARJ54" s="4">
        <v>0</v>
      </c>
      <c r="ARK54" s="4">
        <v>0</v>
      </c>
      <c r="ARL54" s="4">
        <v>0</v>
      </c>
      <c r="ARM54" s="4">
        <v>0</v>
      </c>
      <c r="ARN54" s="4">
        <v>0</v>
      </c>
      <c r="ARO54" s="4">
        <v>0</v>
      </c>
      <c r="ARP54" s="4">
        <v>0</v>
      </c>
      <c r="ARQ54" s="4">
        <v>0</v>
      </c>
      <c r="ARR54" s="4">
        <v>0</v>
      </c>
      <c r="ARS54" s="4">
        <v>0</v>
      </c>
      <c r="ART54" s="4">
        <v>0</v>
      </c>
      <c r="ARU54" s="4">
        <v>0</v>
      </c>
      <c r="ARV54" s="4">
        <v>0</v>
      </c>
      <c r="ARW54" s="4">
        <v>0</v>
      </c>
      <c r="ARX54" s="4">
        <v>0</v>
      </c>
      <c r="ARY54" s="4">
        <v>0</v>
      </c>
      <c r="ARZ54" s="4">
        <v>0</v>
      </c>
      <c r="ASA54" s="4">
        <v>0</v>
      </c>
      <c r="ASB54" s="4">
        <v>0</v>
      </c>
      <c r="ASC54" s="4">
        <v>0</v>
      </c>
      <c r="ASD54" s="4">
        <v>0</v>
      </c>
      <c r="ASE54" s="4">
        <v>0</v>
      </c>
      <c r="ASF54" s="4">
        <v>0</v>
      </c>
      <c r="ASG54" s="4">
        <v>0</v>
      </c>
      <c r="ASH54" s="4">
        <v>0</v>
      </c>
      <c r="ASI54" s="4">
        <v>0</v>
      </c>
      <c r="ASJ54" s="4">
        <v>0</v>
      </c>
      <c r="ASK54" s="4">
        <v>0</v>
      </c>
      <c r="ASL54" s="4">
        <v>0</v>
      </c>
      <c r="ASM54" s="4">
        <v>0</v>
      </c>
      <c r="ASN54" s="4">
        <v>0</v>
      </c>
      <c r="ASO54" s="4">
        <v>0</v>
      </c>
      <c r="ASP54" s="4">
        <v>0</v>
      </c>
      <c r="ASQ54" s="4">
        <v>0</v>
      </c>
      <c r="ASR54" s="4">
        <v>0</v>
      </c>
      <c r="ASS54" s="4">
        <v>0</v>
      </c>
      <c r="AST54" s="4">
        <v>0</v>
      </c>
      <c r="ASU54" s="4">
        <v>0</v>
      </c>
      <c r="ASV54" s="4">
        <v>0</v>
      </c>
      <c r="ASW54" s="4">
        <v>0</v>
      </c>
      <c r="ASX54" s="4">
        <v>0</v>
      </c>
      <c r="ASY54" s="4">
        <v>0</v>
      </c>
      <c r="ASZ54" s="4">
        <v>0</v>
      </c>
      <c r="ATA54" s="4">
        <v>0</v>
      </c>
      <c r="ATB54" s="4">
        <v>0</v>
      </c>
      <c r="ATC54" s="4">
        <v>0</v>
      </c>
      <c r="ATD54" s="4">
        <v>0</v>
      </c>
      <c r="ATE54" s="4">
        <v>0</v>
      </c>
      <c r="ATF54" s="4">
        <v>0</v>
      </c>
      <c r="ATG54" s="4">
        <v>0</v>
      </c>
      <c r="ATH54" s="4">
        <v>0</v>
      </c>
      <c r="ATI54" s="4">
        <v>0</v>
      </c>
      <c r="ATJ54" s="4">
        <v>0</v>
      </c>
      <c r="ATK54" s="4">
        <v>0</v>
      </c>
      <c r="ATL54" s="4">
        <v>0</v>
      </c>
      <c r="ATM54" s="4">
        <v>0</v>
      </c>
      <c r="ATN54" s="4">
        <v>0</v>
      </c>
      <c r="ATO54" s="4">
        <v>0</v>
      </c>
      <c r="ATP54" s="4">
        <v>0</v>
      </c>
      <c r="ATQ54" s="4">
        <v>0</v>
      </c>
      <c r="ATR54" s="4">
        <v>0</v>
      </c>
      <c r="ATS54" s="4">
        <v>0</v>
      </c>
      <c r="ATT54" s="4">
        <v>0</v>
      </c>
      <c r="ATU54" s="4">
        <v>0</v>
      </c>
      <c r="ATV54" s="4">
        <v>0</v>
      </c>
      <c r="ATW54" s="4">
        <v>0</v>
      </c>
      <c r="ATX54" s="4">
        <v>0</v>
      </c>
      <c r="ATY54" s="4">
        <v>0</v>
      </c>
      <c r="ATZ54" s="4">
        <v>0</v>
      </c>
      <c r="AUA54" s="4">
        <v>0</v>
      </c>
      <c r="AUB54" s="4">
        <v>0</v>
      </c>
      <c r="AUC54" s="4">
        <v>0</v>
      </c>
      <c r="AUD54" s="4">
        <v>0</v>
      </c>
      <c r="AUE54" s="4">
        <v>0</v>
      </c>
      <c r="AUF54" s="4">
        <v>0</v>
      </c>
      <c r="AUG54" s="4">
        <v>0</v>
      </c>
      <c r="AUH54" s="4">
        <v>0</v>
      </c>
      <c r="AUI54" s="4">
        <v>0</v>
      </c>
      <c r="AUJ54" s="4">
        <v>0</v>
      </c>
      <c r="AUK54" s="4">
        <v>0</v>
      </c>
      <c r="AUL54" s="4">
        <v>0</v>
      </c>
      <c r="AUM54" s="4">
        <v>0</v>
      </c>
      <c r="AUN54" s="4">
        <v>0</v>
      </c>
      <c r="AUO54" s="4">
        <v>0</v>
      </c>
      <c r="AUP54" s="4">
        <v>0</v>
      </c>
      <c r="AUQ54" s="4">
        <v>0</v>
      </c>
      <c r="AUR54" s="4">
        <v>0</v>
      </c>
      <c r="AUS54" s="4">
        <v>0</v>
      </c>
      <c r="AUT54" s="4">
        <v>0</v>
      </c>
      <c r="AUU54" s="4">
        <v>0</v>
      </c>
      <c r="AUV54" s="4">
        <v>0</v>
      </c>
      <c r="AUW54" s="4">
        <v>0</v>
      </c>
      <c r="AUX54" s="4">
        <v>0</v>
      </c>
      <c r="AUY54" s="4">
        <v>0</v>
      </c>
      <c r="AUZ54" s="4">
        <v>0</v>
      </c>
      <c r="AVA54" s="4">
        <v>0</v>
      </c>
      <c r="AVB54" s="4">
        <v>0</v>
      </c>
      <c r="AVC54" s="4">
        <v>0</v>
      </c>
      <c r="AVD54" s="4">
        <v>0</v>
      </c>
      <c r="AVE54" s="4">
        <v>0</v>
      </c>
      <c r="AVF54" s="4">
        <v>0</v>
      </c>
      <c r="AVG54" s="4">
        <v>0</v>
      </c>
      <c r="AVH54" s="4">
        <v>0</v>
      </c>
      <c r="AVI54" s="4">
        <v>0</v>
      </c>
      <c r="AVJ54" s="4">
        <v>0</v>
      </c>
      <c r="AVK54" s="4">
        <v>0</v>
      </c>
      <c r="AVL54" s="4">
        <v>0</v>
      </c>
      <c r="AVM54" s="4">
        <v>6</v>
      </c>
      <c r="AVN54" s="4">
        <v>103</v>
      </c>
      <c r="AVO54" s="4">
        <v>19</v>
      </c>
      <c r="AVP54" s="4">
        <v>11</v>
      </c>
      <c r="AVQ54" s="4">
        <v>3</v>
      </c>
      <c r="AVR54" s="4">
        <v>0</v>
      </c>
      <c r="AVS54" s="4">
        <v>0</v>
      </c>
      <c r="AVT54" s="4">
        <v>15</v>
      </c>
      <c r="AVU54" s="4">
        <v>2</v>
      </c>
      <c r="AVV54" s="4">
        <v>2</v>
      </c>
      <c r="AVW54" s="4">
        <v>0</v>
      </c>
      <c r="AVX54" s="4">
        <v>309</v>
      </c>
      <c r="AVY54" s="4">
        <v>342</v>
      </c>
      <c r="AVZ54" s="4">
        <v>0</v>
      </c>
      <c r="AWA54" s="4">
        <v>46</v>
      </c>
      <c r="AWB54" s="4">
        <v>7</v>
      </c>
      <c r="AWC54" s="4" t="s">
        <v>1671</v>
      </c>
      <c r="AWD54" s="4">
        <v>11</v>
      </c>
      <c r="AWE54" s="4" t="s">
        <v>1671</v>
      </c>
      <c r="AWF54" s="4">
        <v>6</v>
      </c>
      <c r="AWG54" s="4">
        <v>15</v>
      </c>
      <c r="AWH54" s="4">
        <v>6</v>
      </c>
      <c r="AWI54" s="4">
        <v>0</v>
      </c>
      <c r="AWJ54" s="4">
        <v>0</v>
      </c>
      <c r="AWK54" s="4">
        <v>0</v>
      </c>
      <c r="AWL54" s="4">
        <v>0</v>
      </c>
      <c r="AWM54" s="4">
        <v>0</v>
      </c>
      <c r="AWN54" s="4">
        <v>0</v>
      </c>
      <c r="AWO54" s="4">
        <v>0</v>
      </c>
      <c r="AWP54" s="4">
        <v>0</v>
      </c>
      <c r="AWQ54" s="4">
        <v>1.73</v>
      </c>
      <c r="AWR54" s="4">
        <v>0</v>
      </c>
      <c r="AWS54" s="4">
        <v>0</v>
      </c>
      <c r="AWT54" s="4">
        <v>0</v>
      </c>
      <c r="AWU54" s="4">
        <v>0</v>
      </c>
      <c r="AWV54" s="4">
        <v>0</v>
      </c>
      <c r="AWW54" s="4">
        <v>0</v>
      </c>
      <c r="AWX54" s="4">
        <v>0</v>
      </c>
      <c r="AWY54" s="4">
        <v>0</v>
      </c>
      <c r="AWZ54" s="4">
        <v>2</v>
      </c>
      <c r="AXA54" s="4">
        <v>7</v>
      </c>
      <c r="AXB54" s="4">
        <v>0</v>
      </c>
      <c r="AXC54" s="4">
        <v>0</v>
      </c>
      <c r="AXD54" s="4">
        <v>0</v>
      </c>
      <c r="AXE54" s="4">
        <v>0</v>
      </c>
      <c r="AXF54" s="4">
        <v>0</v>
      </c>
      <c r="AXG54" s="4">
        <v>0</v>
      </c>
      <c r="AXH54" s="4">
        <v>0</v>
      </c>
      <c r="AXI54" s="4">
        <v>0</v>
      </c>
      <c r="AXJ54" s="4">
        <v>0</v>
      </c>
      <c r="AXK54" s="4">
        <v>0</v>
      </c>
      <c r="AXL54" s="4">
        <v>0</v>
      </c>
      <c r="AXM54" s="4">
        <v>0</v>
      </c>
      <c r="AXN54" s="4">
        <v>0</v>
      </c>
      <c r="AXO54" s="4">
        <v>0</v>
      </c>
      <c r="AXP54" s="4">
        <v>0</v>
      </c>
      <c r="AXQ54" s="4">
        <v>0</v>
      </c>
      <c r="AXR54" s="4">
        <v>0</v>
      </c>
      <c r="AXS54" s="4">
        <v>0</v>
      </c>
      <c r="AXT54" s="4">
        <v>0</v>
      </c>
      <c r="AXU54" s="4">
        <v>0</v>
      </c>
      <c r="AXV54" s="4">
        <v>0</v>
      </c>
      <c r="AXW54" s="4">
        <v>0</v>
      </c>
      <c r="AXX54" s="4">
        <v>0</v>
      </c>
      <c r="AXY54" s="4">
        <v>0</v>
      </c>
      <c r="AXZ54" s="4">
        <v>0</v>
      </c>
      <c r="AYA54" s="4">
        <v>0</v>
      </c>
      <c r="AYB54" s="4">
        <v>0</v>
      </c>
      <c r="AYC54" s="4">
        <v>0</v>
      </c>
      <c r="AYD54" s="4">
        <v>0</v>
      </c>
      <c r="AYE54" s="4">
        <v>0</v>
      </c>
      <c r="AYF54" s="4">
        <v>0</v>
      </c>
      <c r="AYG54" s="4">
        <v>0</v>
      </c>
      <c r="AYH54" s="4">
        <v>0</v>
      </c>
      <c r="AYI54" s="4">
        <v>0</v>
      </c>
      <c r="AYJ54" s="4">
        <v>0</v>
      </c>
      <c r="AYK54" s="4">
        <v>0</v>
      </c>
      <c r="AYL54" s="4">
        <v>0</v>
      </c>
      <c r="AYM54" s="4">
        <v>0</v>
      </c>
      <c r="AYN54" s="4">
        <v>0</v>
      </c>
      <c r="AYO54" s="4">
        <v>0</v>
      </c>
      <c r="AYP54" s="4">
        <v>0</v>
      </c>
      <c r="AYQ54" s="4">
        <v>0</v>
      </c>
      <c r="AYR54" s="4">
        <v>0</v>
      </c>
      <c r="AYS54" s="4">
        <v>0</v>
      </c>
      <c r="AYT54" s="4">
        <v>3</v>
      </c>
      <c r="AYU54" s="4">
        <v>0</v>
      </c>
      <c r="AYV54" s="4">
        <v>0</v>
      </c>
      <c r="AYW54" s="4">
        <v>0</v>
      </c>
      <c r="AYX54" s="4">
        <v>0</v>
      </c>
      <c r="AYY54" s="4">
        <v>0</v>
      </c>
      <c r="AYZ54" s="4">
        <v>0</v>
      </c>
      <c r="AZA54" s="4">
        <v>0</v>
      </c>
      <c r="AZB54" s="4">
        <v>2</v>
      </c>
      <c r="AZC54" s="4">
        <v>0</v>
      </c>
      <c r="AZD54" s="4">
        <v>0</v>
      </c>
      <c r="AZE54" s="4">
        <v>0</v>
      </c>
      <c r="AZF54" s="4">
        <v>0</v>
      </c>
      <c r="AZG54" s="4">
        <v>0</v>
      </c>
      <c r="AZH54" s="4">
        <v>0</v>
      </c>
      <c r="AZI54" s="4">
        <v>0</v>
      </c>
      <c r="AZJ54" s="4">
        <v>0</v>
      </c>
      <c r="AZK54" s="4">
        <v>0</v>
      </c>
      <c r="AZL54" s="4">
        <v>0</v>
      </c>
      <c r="AZM54" s="4">
        <v>0</v>
      </c>
      <c r="AZN54" s="4">
        <v>0</v>
      </c>
      <c r="AZO54" s="4">
        <v>0</v>
      </c>
      <c r="AZP54" s="4">
        <v>0</v>
      </c>
      <c r="AZQ54" s="4">
        <v>0</v>
      </c>
      <c r="AZR54" s="4">
        <v>0</v>
      </c>
      <c r="AZS54" s="4">
        <v>0</v>
      </c>
      <c r="AZT54" s="4">
        <v>0</v>
      </c>
      <c r="AZU54" s="4">
        <v>0</v>
      </c>
      <c r="AZV54" s="4">
        <v>0</v>
      </c>
      <c r="AZW54" s="4">
        <v>0</v>
      </c>
      <c r="AZX54" s="4">
        <v>0</v>
      </c>
      <c r="AZY54" s="4">
        <v>0</v>
      </c>
      <c r="AZZ54" s="4">
        <v>0</v>
      </c>
      <c r="BAA54" s="4">
        <v>0</v>
      </c>
      <c r="BAB54" s="4">
        <v>0</v>
      </c>
      <c r="BAC54" s="4">
        <v>0</v>
      </c>
      <c r="BAD54" s="4">
        <v>0</v>
      </c>
      <c r="BAE54" s="4">
        <v>0</v>
      </c>
      <c r="BAF54" s="4">
        <v>0</v>
      </c>
      <c r="BAG54" s="4">
        <v>0</v>
      </c>
      <c r="BAH54" s="4">
        <v>0</v>
      </c>
      <c r="BAI54" s="4">
        <v>0</v>
      </c>
      <c r="BAJ54" s="4">
        <v>0</v>
      </c>
      <c r="BAK54" s="4">
        <v>0</v>
      </c>
      <c r="BAL54" s="4">
        <v>0</v>
      </c>
      <c r="BAM54" s="4">
        <v>0</v>
      </c>
      <c r="BAN54" s="4">
        <v>0</v>
      </c>
      <c r="BAO54" s="4">
        <v>0</v>
      </c>
      <c r="BAP54" s="4">
        <v>0</v>
      </c>
      <c r="BAQ54" s="4">
        <v>0</v>
      </c>
      <c r="BAR54" s="4">
        <v>2</v>
      </c>
      <c r="BAS54" s="4">
        <v>0</v>
      </c>
      <c r="BAT54" s="4">
        <v>0</v>
      </c>
      <c r="BAU54" s="4">
        <v>0</v>
      </c>
      <c r="BAV54" s="4">
        <v>0</v>
      </c>
      <c r="BAW54" s="4">
        <v>0</v>
      </c>
      <c r="BAX54" s="4">
        <v>0</v>
      </c>
      <c r="BAY54" s="4">
        <v>0</v>
      </c>
      <c r="BAZ54" s="4">
        <v>0</v>
      </c>
      <c r="BBA54" s="4">
        <v>0</v>
      </c>
      <c r="BBB54" s="4">
        <v>0</v>
      </c>
      <c r="BBC54" s="4">
        <v>0</v>
      </c>
      <c r="BBD54" s="4">
        <v>1</v>
      </c>
      <c r="BBE54" s="4">
        <v>0</v>
      </c>
      <c r="BBF54" s="4">
        <v>3</v>
      </c>
      <c r="BBG54" s="4">
        <v>0</v>
      </c>
      <c r="BBH54" s="4">
        <v>0</v>
      </c>
      <c r="BBI54" s="4">
        <v>0</v>
      </c>
      <c r="BBJ54" s="4">
        <v>0</v>
      </c>
      <c r="BBK54" s="4">
        <v>0</v>
      </c>
      <c r="BBL54" s="4">
        <v>0</v>
      </c>
      <c r="BBM54" s="4">
        <v>0</v>
      </c>
      <c r="BBN54" s="4">
        <v>0</v>
      </c>
      <c r="BBO54" s="4">
        <v>0</v>
      </c>
      <c r="BBP54" s="4">
        <v>0</v>
      </c>
      <c r="BBQ54" s="4">
        <v>8</v>
      </c>
      <c r="BBR54" s="4">
        <v>0</v>
      </c>
      <c r="BBS54" s="4">
        <v>0</v>
      </c>
      <c r="BBT54" s="4">
        <v>0</v>
      </c>
      <c r="BBU54" s="4">
        <v>0</v>
      </c>
      <c r="BBV54" s="4">
        <v>0</v>
      </c>
      <c r="BBW54" s="4">
        <v>0</v>
      </c>
      <c r="BBX54" s="4">
        <v>2</v>
      </c>
      <c r="BBY54" s="4">
        <v>0</v>
      </c>
      <c r="BBZ54" s="4">
        <v>0</v>
      </c>
      <c r="BCA54" s="4">
        <v>0</v>
      </c>
      <c r="BCB54" s="4">
        <v>0</v>
      </c>
      <c r="BCC54" s="4">
        <v>0</v>
      </c>
      <c r="BCD54" s="4">
        <v>0</v>
      </c>
      <c r="BCE54" s="4">
        <v>0</v>
      </c>
      <c r="BCF54" s="4">
        <v>0</v>
      </c>
      <c r="BCG54" s="4">
        <v>0</v>
      </c>
      <c r="BCH54" s="4">
        <v>0</v>
      </c>
      <c r="BCI54" s="4">
        <v>0</v>
      </c>
      <c r="BCJ54" s="4">
        <v>0</v>
      </c>
      <c r="BCK54" s="4">
        <v>6</v>
      </c>
      <c r="BCL54" s="4">
        <v>0</v>
      </c>
      <c r="BCM54" s="4">
        <v>1</v>
      </c>
      <c r="BCN54" s="4">
        <v>0</v>
      </c>
      <c r="BCO54" s="4">
        <v>0</v>
      </c>
      <c r="BCP54" s="4">
        <v>0</v>
      </c>
      <c r="BCQ54" s="4">
        <v>0</v>
      </c>
      <c r="BCR54" s="4">
        <v>2</v>
      </c>
      <c r="BCS54" s="4">
        <v>0</v>
      </c>
      <c r="BCT54" s="4">
        <v>0</v>
      </c>
      <c r="BCU54" s="4">
        <v>0</v>
      </c>
      <c r="BCV54" s="4">
        <v>0</v>
      </c>
      <c r="BCW54" s="4">
        <v>0</v>
      </c>
      <c r="BCX54" s="4">
        <v>0</v>
      </c>
      <c r="BCY54" s="4">
        <v>0</v>
      </c>
      <c r="BCZ54" s="4">
        <v>0</v>
      </c>
      <c r="BDA54" s="4">
        <v>0</v>
      </c>
      <c r="BDB54" s="4">
        <v>0</v>
      </c>
      <c r="BDC54" s="4">
        <v>0</v>
      </c>
      <c r="BDD54" s="4">
        <v>0</v>
      </c>
      <c r="BDE54" s="4">
        <v>0</v>
      </c>
      <c r="BDF54" s="4">
        <v>0</v>
      </c>
      <c r="BDG54" s="4">
        <v>0</v>
      </c>
      <c r="BDH54" s="4">
        <v>0</v>
      </c>
      <c r="BDI54" s="4">
        <v>0</v>
      </c>
      <c r="BDJ54" s="4">
        <v>0</v>
      </c>
      <c r="BDK54" s="4">
        <v>0</v>
      </c>
      <c r="BDL54" s="4">
        <v>0</v>
      </c>
      <c r="BDM54" s="4">
        <v>0</v>
      </c>
      <c r="BDN54" s="4">
        <v>0</v>
      </c>
      <c r="BDO54" s="4">
        <v>0</v>
      </c>
      <c r="BDP54" s="4">
        <v>0</v>
      </c>
      <c r="BDQ54" s="4">
        <v>0</v>
      </c>
      <c r="BDR54" s="4">
        <v>0</v>
      </c>
      <c r="BDS54" s="4">
        <v>0</v>
      </c>
      <c r="BDT54" s="4">
        <v>5</v>
      </c>
      <c r="BDU54" s="4">
        <v>0</v>
      </c>
      <c r="BDV54" s="4">
        <v>0</v>
      </c>
      <c r="BDW54" s="4">
        <v>1</v>
      </c>
      <c r="BDX54" s="4">
        <v>0</v>
      </c>
      <c r="BDY54" s="4">
        <v>0</v>
      </c>
      <c r="BDZ54" s="4">
        <v>0</v>
      </c>
      <c r="BEA54" s="4">
        <v>0</v>
      </c>
      <c r="BEB54" s="4">
        <v>0</v>
      </c>
      <c r="BEC54" s="4">
        <v>0</v>
      </c>
      <c r="BED54" s="4">
        <v>0</v>
      </c>
      <c r="BEE54" s="4">
        <v>0</v>
      </c>
      <c r="BEF54" s="4">
        <v>0</v>
      </c>
      <c r="BEG54" s="4">
        <v>0</v>
      </c>
      <c r="BEH54" s="4">
        <v>0</v>
      </c>
      <c r="BEI54" s="4">
        <v>1</v>
      </c>
      <c r="BEJ54" s="4">
        <v>0</v>
      </c>
      <c r="BEK54" s="4">
        <v>0</v>
      </c>
      <c r="BEL54" s="4">
        <v>0</v>
      </c>
      <c r="BEM54" s="4">
        <v>0</v>
      </c>
      <c r="BEN54" s="4">
        <v>0</v>
      </c>
      <c r="BEO54" s="4">
        <v>0</v>
      </c>
      <c r="BEP54" s="4">
        <v>0</v>
      </c>
      <c r="BEQ54" s="4">
        <v>0</v>
      </c>
      <c r="BER54" s="4">
        <v>0</v>
      </c>
      <c r="BES54" s="4">
        <v>0</v>
      </c>
      <c r="BET54" s="4">
        <v>0</v>
      </c>
      <c r="BEU54" s="4">
        <v>0</v>
      </c>
      <c r="BEV54" s="4">
        <v>0</v>
      </c>
      <c r="BEW54" s="4">
        <v>0</v>
      </c>
      <c r="BEX54" s="4">
        <v>0</v>
      </c>
      <c r="BEY54" s="4">
        <v>0</v>
      </c>
      <c r="BEZ54" s="4">
        <v>0</v>
      </c>
      <c r="BFA54" s="4">
        <v>0</v>
      </c>
      <c r="BFB54" s="4">
        <v>0</v>
      </c>
      <c r="BFC54" s="4">
        <v>0</v>
      </c>
      <c r="BFD54" s="4">
        <v>0</v>
      </c>
      <c r="BFE54" s="4">
        <v>0</v>
      </c>
      <c r="BFF54" s="4">
        <v>0</v>
      </c>
      <c r="BFG54" s="4">
        <v>0</v>
      </c>
      <c r="BFH54" s="4">
        <v>0</v>
      </c>
      <c r="BFI54" s="4">
        <v>0</v>
      </c>
      <c r="BFJ54" s="4">
        <v>0</v>
      </c>
      <c r="BFK54" s="4">
        <v>0</v>
      </c>
      <c r="BFL54" s="4">
        <v>0</v>
      </c>
      <c r="BFM54" s="4">
        <v>0</v>
      </c>
      <c r="BFN54" s="4">
        <v>0</v>
      </c>
      <c r="BFO54" s="4">
        <v>0</v>
      </c>
      <c r="BFP54" s="4">
        <v>0</v>
      </c>
      <c r="BFQ54" s="4">
        <v>0</v>
      </c>
      <c r="BFR54" s="4">
        <v>0</v>
      </c>
      <c r="BFS54" s="4">
        <v>0</v>
      </c>
      <c r="BFT54" s="4">
        <v>0</v>
      </c>
      <c r="BFU54" s="4">
        <v>0</v>
      </c>
      <c r="BFV54" s="4">
        <v>0</v>
      </c>
      <c r="BFW54" s="4">
        <v>0</v>
      </c>
      <c r="BFX54" s="4">
        <v>0</v>
      </c>
      <c r="BFY54" s="4">
        <v>0</v>
      </c>
      <c r="BFZ54" s="4">
        <v>0</v>
      </c>
      <c r="BGA54" s="4">
        <v>0</v>
      </c>
      <c r="BGB54" s="4">
        <v>0</v>
      </c>
      <c r="BGC54" s="4">
        <v>0</v>
      </c>
      <c r="BGD54" s="4">
        <v>0</v>
      </c>
      <c r="BGE54" s="4">
        <v>0</v>
      </c>
      <c r="BGF54" s="4">
        <v>0</v>
      </c>
      <c r="BGG54" s="4">
        <v>0</v>
      </c>
      <c r="BGH54" s="4">
        <v>0</v>
      </c>
      <c r="BGI54" s="4">
        <v>0</v>
      </c>
      <c r="BGJ54" s="4">
        <v>0</v>
      </c>
      <c r="BGK54" s="4">
        <v>0</v>
      </c>
      <c r="BGL54" s="4">
        <v>0</v>
      </c>
      <c r="BGM54" s="4">
        <v>0</v>
      </c>
      <c r="BGN54" s="4">
        <v>0</v>
      </c>
      <c r="BGO54" s="4">
        <v>0</v>
      </c>
      <c r="BGP54" s="4">
        <v>0</v>
      </c>
      <c r="BGQ54" s="4">
        <v>0</v>
      </c>
      <c r="BGR54" s="4">
        <v>0</v>
      </c>
      <c r="BGS54" s="4">
        <v>0</v>
      </c>
      <c r="BGT54" s="4">
        <v>0</v>
      </c>
      <c r="BGU54" s="4">
        <v>0</v>
      </c>
      <c r="BGV54" s="4">
        <v>0</v>
      </c>
      <c r="BGW54" s="4">
        <v>0</v>
      </c>
      <c r="BGX54" s="4">
        <v>0</v>
      </c>
      <c r="BGY54" s="4">
        <v>0</v>
      </c>
      <c r="BGZ54" s="4">
        <v>0</v>
      </c>
      <c r="BHA54" s="4">
        <v>0</v>
      </c>
      <c r="BHB54" s="4">
        <v>0</v>
      </c>
      <c r="BHC54" s="4">
        <v>0</v>
      </c>
      <c r="BHD54" s="4">
        <v>0</v>
      </c>
      <c r="BHE54" s="4">
        <v>0</v>
      </c>
      <c r="BHF54" s="4">
        <v>0</v>
      </c>
      <c r="BHG54" s="4">
        <v>0</v>
      </c>
      <c r="BHH54" s="4">
        <v>0</v>
      </c>
      <c r="BHI54" s="4">
        <v>0</v>
      </c>
      <c r="BHJ54" s="4">
        <v>0</v>
      </c>
      <c r="BHK54" s="4">
        <v>0</v>
      </c>
      <c r="BHL54" s="4">
        <v>0</v>
      </c>
      <c r="BHM54" s="4">
        <v>0</v>
      </c>
      <c r="BHN54" s="4">
        <v>0</v>
      </c>
      <c r="BHO54" s="4">
        <v>0</v>
      </c>
      <c r="BHP54" s="4">
        <v>0</v>
      </c>
      <c r="BHQ54" s="4">
        <v>0</v>
      </c>
      <c r="BHR54" s="4">
        <v>0</v>
      </c>
      <c r="BHS54" s="4">
        <v>0</v>
      </c>
      <c r="BHT54" s="4">
        <v>0</v>
      </c>
      <c r="BHU54" s="4">
        <v>0</v>
      </c>
      <c r="BHV54" s="4">
        <v>0</v>
      </c>
      <c r="BHW54" s="4">
        <v>0</v>
      </c>
      <c r="BHX54" s="4">
        <v>0</v>
      </c>
      <c r="BHY54" s="4">
        <v>0</v>
      </c>
      <c r="BHZ54" s="4">
        <v>0</v>
      </c>
      <c r="BIA54" s="4">
        <v>0</v>
      </c>
      <c r="BIB54" s="4">
        <v>0</v>
      </c>
      <c r="BIC54" s="4">
        <v>0</v>
      </c>
      <c r="BID54" s="4">
        <v>0</v>
      </c>
      <c r="BIE54" s="4">
        <v>0</v>
      </c>
      <c r="BIF54" s="4">
        <v>0</v>
      </c>
      <c r="BIG54" s="4">
        <v>0</v>
      </c>
      <c r="BIH54" s="4">
        <v>0</v>
      </c>
      <c r="BII54" s="4">
        <v>0</v>
      </c>
      <c r="BIJ54" s="4">
        <v>0</v>
      </c>
      <c r="BIK54" s="4">
        <v>0</v>
      </c>
      <c r="BIL54" s="4">
        <v>0</v>
      </c>
      <c r="BIM54" s="4">
        <v>0</v>
      </c>
      <c r="BIN54" s="4">
        <v>0</v>
      </c>
      <c r="BIO54" s="4">
        <v>0</v>
      </c>
      <c r="BIP54" s="4">
        <v>0</v>
      </c>
      <c r="BIQ54" s="4">
        <v>0</v>
      </c>
      <c r="BIR54" s="4">
        <v>0</v>
      </c>
      <c r="BIS54" s="4">
        <v>0</v>
      </c>
      <c r="BIT54" s="4">
        <v>0</v>
      </c>
      <c r="BIU54" s="4">
        <v>0</v>
      </c>
      <c r="BIV54" s="4">
        <v>0</v>
      </c>
      <c r="BIW54" s="4">
        <v>0</v>
      </c>
      <c r="BIX54" s="4">
        <v>0</v>
      </c>
      <c r="BIY54" s="4">
        <v>0</v>
      </c>
      <c r="BIZ54" s="4">
        <v>0</v>
      </c>
      <c r="BJA54" s="4">
        <v>0</v>
      </c>
      <c r="BJB54" s="4">
        <v>0</v>
      </c>
      <c r="BJC54" s="4">
        <v>0</v>
      </c>
      <c r="BJD54" s="4">
        <v>0</v>
      </c>
      <c r="BJE54" s="4">
        <v>0</v>
      </c>
      <c r="BJF54" s="4">
        <v>0</v>
      </c>
      <c r="BJG54" s="4">
        <v>0</v>
      </c>
      <c r="BJH54" s="4">
        <v>0</v>
      </c>
      <c r="BJI54" s="4">
        <v>0</v>
      </c>
      <c r="BJJ54" s="4">
        <v>0</v>
      </c>
      <c r="BJK54" s="4">
        <v>0</v>
      </c>
      <c r="BJL54" s="4">
        <v>0</v>
      </c>
      <c r="BJM54" s="4">
        <v>0</v>
      </c>
      <c r="BJN54" s="4">
        <v>0</v>
      </c>
      <c r="BJO54" s="4">
        <v>0</v>
      </c>
      <c r="BJP54" s="4">
        <v>0</v>
      </c>
      <c r="BJQ54" s="4">
        <v>0</v>
      </c>
      <c r="BJR54" s="4">
        <v>0</v>
      </c>
      <c r="BJS54" s="4">
        <v>0</v>
      </c>
      <c r="BJT54" s="4">
        <v>0</v>
      </c>
      <c r="BJU54" s="4">
        <v>0</v>
      </c>
      <c r="BJV54" s="4">
        <v>0</v>
      </c>
      <c r="BJW54" s="4">
        <v>0</v>
      </c>
      <c r="BJX54" s="4">
        <v>0</v>
      </c>
      <c r="BJY54" s="4">
        <v>0</v>
      </c>
      <c r="BJZ54" s="4">
        <v>0</v>
      </c>
      <c r="BKA54" s="4">
        <v>0</v>
      </c>
      <c r="BKB54" s="4">
        <v>0</v>
      </c>
      <c r="BKC54" s="4">
        <v>0</v>
      </c>
      <c r="BKD54" s="4">
        <v>0</v>
      </c>
      <c r="BKE54" s="4">
        <v>0</v>
      </c>
      <c r="BKF54" s="4">
        <v>0</v>
      </c>
      <c r="BKG54" s="4">
        <v>0</v>
      </c>
      <c r="BKH54" s="4">
        <v>0</v>
      </c>
      <c r="BKI54" s="4">
        <v>0</v>
      </c>
      <c r="BKJ54" s="4">
        <v>0</v>
      </c>
      <c r="BKK54" s="4">
        <v>0</v>
      </c>
      <c r="BKL54" s="4">
        <v>0</v>
      </c>
      <c r="BKM54" s="4">
        <v>0</v>
      </c>
      <c r="BKN54" s="4">
        <v>0</v>
      </c>
      <c r="BKO54" s="4">
        <v>0</v>
      </c>
      <c r="BKP54" s="4">
        <v>0</v>
      </c>
      <c r="BKQ54" s="4">
        <v>0</v>
      </c>
      <c r="BKR54" s="4">
        <v>0</v>
      </c>
      <c r="BKS54" s="4">
        <v>0</v>
      </c>
      <c r="BKT54" s="4">
        <v>0</v>
      </c>
      <c r="BKU54" s="4">
        <v>0</v>
      </c>
      <c r="BKV54" s="4">
        <v>0</v>
      </c>
      <c r="BKW54" s="4">
        <v>0</v>
      </c>
      <c r="BKX54" s="4">
        <v>0</v>
      </c>
      <c r="BKY54" s="4">
        <v>0</v>
      </c>
      <c r="BKZ54" s="4">
        <v>0</v>
      </c>
      <c r="BLA54" s="4">
        <v>0</v>
      </c>
      <c r="BLB54" s="4">
        <v>0</v>
      </c>
      <c r="BLC54" s="4">
        <v>0</v>
      </c>
      <c r="BLD54" s="4">
        <v>0</v>
      </c>
      <c r="BLE54" s="4">
        <v>0</v>
      </c>
      <c r="BLF54" s="4">
        <v>0</v>
      </c>
      <c r="BLG54" s="4">
        <v>0</v>
      </c>
      <c r="BLH54" s="4">
        <v>0</v>
      </c>
      <c r="BLI54" s="4">
        <v>0</v>
      </c>
      <c r="BLJ54" s="4">
        <v>0</v>
      </c>
      <c r="BLK54" s="4">
        <v>0</v>
      </c>
    </row>
    <row r="55" spans="1:1675" x14ac:dyDescent="0.2">
      <c r="A55">
        <v>5</v>
      </c>
      <c r="B55">
        <v>11</v>
      </c>
      <c r="C55">
        <f t="shared" si="16"/>
        <v>80</v>
      </c>
      <c r="D55">
        <f t="shared" si="14"/>
        <v>970</v>
      </c>
      <c r="E55">
        <f t="shared" si="15"/>
        <v>54</v>
      </c>
      <c r="F55">
        <f t="shared" si="17"/>
        <v>5</v>
      </c>
      <c r="G55">
        <f t="shared" si="18"/>
        <v>5</v>
      </c>
      <c r="H55" cm="1">
        <f t="array" ref="H55">_xlfn.IFS(P55=0, 1, P55=7, 2, P55=5, 3)</f>
        <v>3</v>
      </c>
      <c r="I55" cm="1">
        <f t="array" ref="I55">_xlfn.IFS(H55=1, IF(AC55=0, P55, PO55), H55=2, IF(AC55=0, P55, AFN55), H55=3, IF(AC55=0, P55, AVM55))</f>
        <v>6</v>
      </c>
      <c r="J55" cm="1">
        <f t="array" ref="J55">_xlfn.IFS(I55=0, 1, I55=1, 0, I55=2, 7, I55=7, 2, I55=5, 6, I55=6, 5)</f>
        <v>5</v>
      </c>
      <c r="K55" cm="1">
        <f t="array" ref="K55">_xlfn.IFNA(_xlfn.IFS(P55&lt;&gt;P56, 1, A55&lt;&gt;A56, IF(P56=P55, 1)), "")</f>
        <v>1</v>
      </c>
      <c r="L55">
        <f t="shared" si="7"/>
        <v>6</v>
      </c>
      <c r="M55" t="s">
        <v>1735</v>
      </c>
      <c r="N55" s="4" t="s">
        <v>1754</v>
      </c>
      <c r="O55" s="4"/>
      <c r="P55" s="4">
        <v>5</v>
      </c>
      <c r="Q55" s="4">
        <v>89</v>
      </c>
      <c r="R55" s="4">
        <v>42</v>
      </c>
      <c r="S55" s="4">
        <v>32</v>
      </c>
      <c r="T55" s="4">
        <v>7</v>
      </c>
      <c r="U55" s="4">
        <v>0</v>
      </c>
      <c r="V55" s="4">
        <v>0</v>
      </c>
      <c r="W55" s="4">
        <v>19</v>
      </c>
      <c r="X55" s="4">
        <v>13</v>
      </c>
      <c r="Y55" s="4">
        <v>9</v>
      </c>
      <c r="Z55" s="4">
        <v>1</v>
      </c>
      <c r="AA55" s="4">
        <v>519</v>
      </c>
      <c r="AB55" s="4">
        <v>612</v>
      </c>
      <c r="AC55" s="4">
        <v>1</v>
      </c>
      <c r="AD55" s="4">
        <v>108</v>
      </c>
      <c r="AE55" s="4">
        <v>5</v>
      </c>
      <c r="AF55" s="4" t="s">
        <v>1680</v>
      </c>
      <c r="AG55" s="4">
        <v>21</v>
      </c>
      <c r="AH55" s="4" t="s">
        <v>1680</v>
      </c>
      <c r="AI55" s="4">
        <v>20</v>
      </c>
      <c r="AJ55" s="4">
        <v>28</v>
      </c>
      <c r="AK55" s="4">
        <v>13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1.31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6</v>
      </c>
      <c r="BD55" s="4">
        <v>11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2</v>
      </c>
      <c r="CX55" s="4">
        <v>4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7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1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3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3</v>
      </c>
      <c r="FC55" s="4">
        <v>0</v>
      </c>
      <c r="FD55" s="4">
        <v>0</v>
      </c>
      <c r="FE55" s="4">
        <v>0</v>
      </c>
      <c r="FF55" s="4">
        <v>0</v>
      </c>
      <c r="FG55" s="4">
        <v>4</v>
      </c>
      <c r="FH55" s="4">
        <v>0</v>
      </c>
      <c r="FI55" s="4">
        <v>11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8</v>
      </c>
      <c r="FU55" s="4">
        <v>4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2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8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10</v>
      </c>
      <c r="HI55" s="4">
        <v>0</v>
      </c>
      <c r="HJ55" s="4">
        <v>3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1</v>
      </c>
      <c r="HT55" s="4">
        <v>0</v>
      </c>
      <c r="HU55" s="4">
        <v>0</v>
      </c>
      <c r="HV55" s="4">
        <v>0</v>
      </c>
      <c r="HW55" s="4">
        <v>10</v>
      </c>
      <c r="HX55" s="4">
        <v>0</v>
      </c>
      <c r="HY55" s="4">
        <v>0</v>
      </c>
      <c r="HZ55" s="4">
        <v>7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2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0</v>
      </c>
      <c r="JC55" s="4">
        <v>0</v>
      </c>
      <c r="JD55" s="4">
        <v>0</v>
      </c>
      <c r="JE55" s="4">
        <v>0</v>
      </c>
      <c r="JF55" s="4">
        <v>1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0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0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0</v>
      </c>
      <c r="NW55" s="4">
        <v>0</v>
      </c>
      <c r="NX55" s="4">
        <v>0</v>
      </c>
      <c r="NY55" s="4">
        <v>0</v>
      </c>
      <c r="NZ55" s="4">
        <v>0</v>
      </c>
      <c r="OA55" s="4">
        <v>0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4">
        <v>0</v>
      </c>
      <c r="PH55" s="4">
        <v>0</v>
      </c>
      <c r="PI55" s="4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6</v>
      </c>
      <c r="PP55" s="4">
        <v>75</v>
      </c>
      <c r="PQ55" s="4">
        <v>44</v>
      </c>
      <c r="PR55" s="4">
        <v>37</v>
      </c>
      <c r="PS55" s="4">
        <v>8</v>
      </c>
      <c r="PT55" s="4">
        <v>0</v>
      </c>
      <c r="PU55" s="4">
        <v>0</v>
      </c>
      <c r="PV55" s="4">
        <v>20</v>
      </c>
      <c r="PW55" s="4">
        <v>12</v>
      </c>
      <c r="PX55" s="4">
        <v>11</v>
      </c>
      <c r="PY55" s="4">
        <v>1</v>
      </c>
      <c r="PZ55" s="4">
        <v>502</v>
      </c>
      <c r="QA55" s="4">
        <v>612</v>
      </c>
      <c r="QB55" s="4">
        <v>0</v>
      </c>
      <c r="QC55" s="4">
        <v>109</v>
      </c>
      <c r="QD55" s="4">
        <v>4</v>
      </c>
      <c r="QE55" s="4" t="s">
        <v>1671</v>
      </c>
      <c r="QF55" s="4">
        <v>24</v>
      </c>
      <c r="QG55" s="4" t="s">
        <v>1676</v>
      </c>
      <c r="QH55" s="4">
        <v>21</v>
      </c>
      <c r="QI55" s="4">
        <v>28</v>
      </c>
      <c r="QJ55" s="4">
        <v>12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1.19</v>
      </c>
      <c r="QT55" s="4">
        <v>0</v>
      </c>
      <c r="QU55" s="4">
        <v>0</v>
      </c>
      <c r="QV55" s="4">
        <v>0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8</v>
      </c>
      <c r="RC55" s="4">
        <v>13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1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2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4</v>
      </c>
      <c r="SW55" s="4">
        <v>4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6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1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0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2</v>
      </c>
      <c r="UV55" s="4">
        <v>0</v>
      </c>
      <c r="UW55" s="4">
        <v>0</v>
      </c>
      <c r="UX55" s="4">
        <v>0</v>
      </c>
      <c r="UY55" s="4">
        <v>2</v>
      </c>
      <c r="UZ55" s="4">
        <v>0</v>
      </c>
      <c r="VA55" s="4">
        <v>3</v>
      </c>
      <c r="VB55" s="4">
        <v>0</v>
      </c>
      <c r="VC55" s="4">
        <v>0</v>
      </c>
      <c r="VD55" s="4">
        <v>0</v>
      </c>
      <c r="VE55" s="4">
        <v>0</v>
      </c>
      <c r="VF55" s="4">
        <v>2</v>
      </c>
      <c r="VG55" s="4">
        <v>0</v>
      </c>
      <c r="VH55" s="4">
        <v>7</v>
      </c>
      <c r="VI55" s="4">
        <v>0</v>
      </c>
      <c r="VJ55" s="4">
        <v>0</v>
      </c>
      <c r="VK55" s="4">
        <v>0</v>
      </c>
      <c r="VL55" s="4">
        <v>0</v>
      </c>
      <c r="VM55" s="4">
        <v>0</v>
      </c>
      <c r="VN55" s="4">
        <v>0</v>
      </c>
      <c r="VO55" s="4">
        <v>0</v>
      </c>
      <c r="VP55" s="4">
        <v>0</v>
      </c>
      <c r="VQ55" s="4">
        <v>0</v>
      </c>
      <c r="VR55" s="4">
        <v>0</v>
      </c>
      <c r="VS55" s="4">
        <v>7</v>
      </c>
      <c r="VT55" s="4">
        <v>1</v>
      </c>
      <c r="VU55" s="4">
        <v>0</v>
      </c>
      <c r="VV55" s="4">
        <v>0</v>
      </c>
      <c r="VW55" s="4">
        <v>0</v>
      </c>
      <c r="VX55" s="4">
        <v>0</v>
      </c>
      <c r="VY55" s="4">
        <v>0</v>
      </c>
      <c r="VZ55" s="4">
        <v>0</v>
      </c>
      <c r="WA55" s="4">
        <v>0</v>
      </c>
      <c r="WB55" s="4">
        <v>2</v>
      </c>
      <c r="WC55" s="4">
        <v>0</v>
      </c>
      <c r="WD55" s="4">
        <v>0</v>
      </c>
      <c r="WE55" s="4">
        <v>0</v>
      </c>
      <c r="WF55" s="4">
        <v>0</v>
      </c>
      <c r="WG55" s="4">
        <v>0</v>
      </c>
      <c r="WH55" s="4">
        <v>0</v>
      </c>
      <c r="WI55" s="4">
        <v>0</v>
      </c>
      <c r="WJ55" s="4">
        <v>0</v>
      </c>
      <c r="WK55" s="4">
        <v>0</v>
      </c>
      <c r="WL55" s="4">
        <v>0</v>
      </c>
      <c r="WM55" s="4">
        <v>1</v>
      </c>
      <c r="WN55" s="4">
        <v>0</v>
      </c>
      <c r="WO55" s="4">
        <v>1</v>
      </c>
      <c r="WP55" s="4">
        <v>0</v>
      </c>
      <c r="WQ55" s="4">
        <v>0</v>
      </c>
      <c r="WR55" s="4">
        <v>0</v>
      </c>
      <c r="WS55" s="4">
        <v>0</v>
      </c>
      <c r="WT55" s="4">
        <v>8</v>
      </c>
      <c r="WU55" s="4">
        <v>0</v>
      </c>
      <c r="WV55" s="4">
        <v>0</v>
      </c>
      <c r="WW55" s="4">
        <v>0</v>
      </c>
      <c r="WX55" s="4">
        <v>0</v>
      </c>
      <c r="WY55" s="4">
        <v>0</v>
      </c>
      <c r="WZ55" s="4">
        <v>0</v>
      </c>
      <c r="XA55" s="4">
        <v>0</v>
      </c>
      <c r="XB55" s="4">
        <v>0</v>
      </c>
      <c r="XC55" s="4">
        <v>0</v>
      </c>
      <c r="XD55" s="4">
        <v>0</v>
      </c>
      <c r="XE55" s="4">
        <v>0</v>
      </c>
      <c r="XF55" s="4">
        <v>0</v>
      </c>
      <c r="XG55" s="4">
        <v>10</v>
      </c>
      <c r="XH55" s="4">
        <v>0</v>
      </c>
      <c r="XI55" s="4">
        <v>3</v>
      </c>
      <c r="XJ55" s="4">
        <v>0</v>
      </c>
      <c r="XK55" s="4">
        <v>0</v>
      </c>
      <c r="XL55" s="4">
        <v>0</v>
      </c>
      <c r="XM55" s="4">
        <v>0</v>
      </c>
      <c r="XN55" s="4">
        <v>0</v>
      </c>
      <c r="XO55" s="4">
        <v>0</v>
      </c>
      <c r="XP55" s="4">
        <v>0</v>
      </c>
      <c r="XQ55" s="4">
        <v>0</v>
      </c>
      <c r="XR55" s="4">
        <v>0</v>
      </c>
      <c r="XS55" s="4">
        <v>0</v>
      </c>
      <c r="XT55" s="4">
        <v>0</v>
      </c>
      <c r="XU55" s="4">
        <v>0</v>
      </c>
      <c r="XV55" s="4">
        <v>13</v>
      </c>
      <c r="XW55" s="4">
        <v>0</v>
      </c>
      <c r="XX55" s="4">
        <v>0</v>
      </c>
      <c r="XY55" s="4">
        <v>6</v>
      </c>
      <c r="XZ55" s="4">
        <v>0</v>
      </c>
      <c r="YA55" s="4">
        <v>0</v>
      </c>
      <c r="YB55" s="4">
        <v>0</v>
      </c>
      <c r="YC55" s="4">
        <v>0</v>
      </c>
      <c r="YD55" s="4">
        <v>0</v>
      </c>
      <c r="YE55" s="4">
        <v>0</v>
      </c>
      <c r="YF55" s="4">
        <v>0</v>
      </c>
      <c r="YG55" s="4">
        <v>0</v>
      </c>
      <c r="YH55" s="4">
        <v>2</v>
      </c>
      <c r="YI55" s="4">
        <v>0</v>
      </c>
      <c r="YJ55" s="4">
        <v>0</v>
      </c>
      <c r="YK55" s="4">
        <v>0</v>
      </c>
      <c r="YL55" s="4">
        <v>0</v>
      </c>
      <c r="YM55" s="4">
        <v>0</v>
      </c>
      <c r="YN55" s="4">
        <v>0</v>
      </c>
      <c r="YO55" s="4">
        <v>0</v>
      </c>
      <c r="YP55" s="4">
        <v>0</v>
      </c>
      <c r="YQ55" s="4">
        <v>0</v>
      </c>
      <c r="YR55" s="4">
        <v>0</v>
      </c>
      <c r="YS55" s="4">
        <v>0</v>
      </c>
      <c r="YT55" s="4">
        <v>0</v>
      </c>
      <c r="YU55" s="4">
        <v>0</v>
      </c>
      <c r="YV55" s="4">
        <v>0</v>
      </c>
      <c r="YW55" s="4">
        <v>0</v>
      </c>
      <c r="YX55" s="4">
        <v>0</v>
      </c>
      <c r="YY55" s="4">
        <v>0</v>
      </c>
      <c r="YZ55" s="4">
        <v>0</v>
      </c>
      <c r="ZA55" s="4">
        <v>0</v>
      </c>
      <c r="ZB55" s="4">
        <v>0</v>
      </c>
      <c r="ZC55" s="4">
        <v>0</v>
      </c>
      <c r="ZD55" s="4">
        <v>0</v>
      </c>
      <c r="ZE55" s="4">
        <v>0</v>
      </c>
      <c r="ZF55" s="4">
        <v>0</v>
      </c>
      <c r="ZG55" s="4">
        <v>0</v>
      </c>
      <c r="ZH55" s="4">
        <v>0</v>
      </c>
      <c r="ZI55" s="4">
        <v>0</v>
      </c>
      <c r="ZJ55" s="4">
        <v>0</v>
      </c>
      <c r="ZK55" s="4">
        <v>0</v>
      </c>
      <c r="ZL55" s="4">
        <v>0</v>
      </c>
      <c r="ZM55" s="4">
        <v>0</v>
      </c>
      <c r="ZN55" s="4">
        <v>0</v>
      </c>
      <c r="ZO55" s="4">
        <v>0</v>
      </c>
      <c r="ZP55" s="4">
        <v>0</v>
      </c>
      <c r="ZQ55" s="4">
        <v>0</v>
      </c>
      <c r="ZR55" s="4">
        <v>0</v>
      </c>
      <c r="ZS55" s="4">
        <v>0</v>
      </c>
      <c r="ZT55" s="4">
        <v>0</v>
      </c>
      <c r="ZU55" s="4">
        <v>0</v>
      </c>
      <c r="ZV55" s="4">
        <v>0</v>
      </c>
      <c r="ZW55" s="4">
        <v>0</v>
      </c>
      <c r="ZX55" s="4">
        <v>0</v>
      </c>
      <c r="ZY55" s="4">
        <v>0</v>
      </c>
      <c r="ZZ55" s="4">
        <v>0</v>
      </c>
      <c r="AAA55" s="4">
        <v>0</v>
      </c>
      <c r="AAB55" s="4">
        <v>0</v>
      </c>
      <c r="AAC55" s="4">
        <v>0</v>
      </c>
      <c r="AAD55" s="4">
        <v>0</v>
      </c>
      <c r="AAE55" s="4">
        <v>0</v>
      </c>
      <c r="AAF55" s="4">
        <v>0</v>
      </c>
      <c r="AAG55" s="4">
        <v>0</v>
      </c>
      <c r="AAH55" s="4">
        <v>0</v>
      </c>
      <c r="AAI55" s="4">
        <v>0</v>
      </c>
      <c r="AAJ55" s="4">
        <v>0</v>
      </c>
      <c r="AAK55" s="4">
        <v>0</v>
      </c>
      <c r="AAL55" s="4">
        <v>0</v>
      </c>
      <c r="AAM55" s="4">
        <v>0</v>
      </c>
      <c r="AAN55" s="4">
        <v>0</v>
      </c>
      <c r="AAO55" s="4">
        <v>0</v>
      </c>
      <c r="AAP55" s="4">
        <v>0</v>
      </c>
      <c r="AAQ55" s="4">
        <v>0</v>
      </c>
      <c r="AAR55" s="4">
        <v>0</v>
      </c>
      <c r="AAS55" s="4">
        <v>0</v>
      </c>
      <c r="AAT55" s="4">
        <v>0</v>
      </c>
      <c r="AAU55" s="4">
        <v>0</v>
      </c>
      <c r="AAV55" s="4">
        <v>0</v>
      </c>
      <c r="AAW55" s="4">
        <v>0</v>
      </c>
      <c r="AAX55" s="4">
        <v>0</v>
      </c>
      <c r="AAY55" s="4">
        <v>0</v>
      </c>
      <c r="AAZ55" s="4">
        <v>0</v>
      </c>
      <c r="ABA55" s="4">
        <v>0</v>
      </c>
      <c r="ABB55" s="4">
        <v>0</v>
      </c>
      <c r="ABC55" s="4">
        <v>0</v>
      </c>
      <c r="ABD55" s="4">
        <v>0</v>
      </c>
      <c r="ABE55" s="4">
        <v>0</v>
      </c>
      <c r="ABF55" s="4">
        <v>0</v>
      </c>
      <c r="ABG55" s="4">
        <v>0</v>
      </c>
      <c r="ABH55" s="4">
        <v>0</v>
      </c>
      <c r="ABI55" s="4">
        <v>0</v>
      </c>
      <c r="ABJ55" s="4">
        <v>0</v>
      </c>
      <c r="ABK55" s="4">
        <v>0</v>
      </c>
      <c r="ABL55" s="4">
        <v>0</v>
      </c>
      <c r="ABM55" s="4">
        <v>0</v>
      </c>
      <c r="ABN55" s="4">
        <v>0</v>
      </c>
      <c r="ABO55" s="4">
        <v>0</v>
      </c>
      <c r="ABP55" s="4">
        <v>0</v>
      </c>
      <c r="ABQ55" s="4">
        <v>0</v>
      </c>
      <c r="ABR55" s="4">
        <v>0</v>
      </c>
      <c r="ABS55" s="4">
        <v>0</v>
      </c>
      <c r="ABT55" s="4">
        <v>0</v>
      </c>
      <c r="ABU55" s="4">
        <v>0</v>
      </c>
      <c r="ABV55" s="4">
        <v>0</v>
      </c>
      <c r="ABW55" s="4">
        <v>0</v>
      </c>
      <c r="ABX55" s="4">
        <v>0</v>
      </c>
      <c r="ABY55" s="4">
        <v>0</v>
      </c>
      <c r="ABZ55" s="4">
        <v>0</v>
      </c>
      <c r="ACA55" s="4">
        <v>0</v>
      </c>
      <c r="ACB55" s="4">
        <v>0</v>
      </c>
      <c r="ACC55" s="4">
        <v>0</v>
      </c>
      <c r="ACD55" s="4">
        <v>0</v>
      </c>
      <c r="ACE55" s="4">
        <v>0</v>
      </c>
      <c r="ACF55" s="4">
        <v>0</v>
      </c>
      <c r="ACG55" s="4">
        <v>0</v>
      </c>
      <c r="ACH55" s="4">
        <v>0</v>
      </c>
      <c r="ACI55" s="4">
        <v>0</v>
      </c>
      <c r="ACJ55" s="4">
        <v>0</v>
      </c>
      <c r="ACK55" s="4">
        <v>0</v>
      </c>
      <c r="ACL55" s="4">
        <v>0</v>
      </c>
      <c r="ACM55" s="4">
        <v>0</v>
      </c>
      <c r="ACN55" s="4">
        <v>0</v>
      </c>
      <c r="ACO55" s="4">
        <v>0</v>
      </c>
      <c r="ACP55" s="4">
        <v>0</v>
      </c>
      <c r="ACQ55" s="4">
        <v>0</v>
      </c>
      <c r="ACR55" s="4">
        <v>0</v>
      </c>
      <c r="ACS55" s="4">
        <v>0</v>
      </c>
      <c r="ACT55" s="4">
        <v>0</v>
      </c>
      <c r="ACU55" s="4">
        <v>0</v>
      </c>
      <c r="ACV55" s="4">
        <v>0</v>
      </c>
      <c r="ACW55" s="4">
        <v>0</v>
      </c>
      <c r="ACX55" s="4">
        <v>0</v>
      </c>
      <c r="ACY55" s="4">
        <v>0</v>
      </c>
      <c r="ACZ55" s="4">
        <v>0</v>
      </c>
      <c r="ADA55" s="4">
        <v>0</v>
      </c>
      <c r="ADB55" s="4">
        <v>0</v>
      </c>
      <c r="ADC55" s="4">
        <v>0</v>
      </c>
      <c r="ADD55" s="4">
        <v>0</v>
      </c>
      <c r="ADE55" s="4">
        <v>0</v>
      </c>
      <c r="ADF55" s="4">
        <v>0</v>
      </c>
      <c r="ADG55" s="4">
        <v>0</v>
      </c>
      <c r="ADH55" s="4">
        <v>0</v>
      </c>
      <c r="ADI55" s="4">
        <v>0</v>
      </c>
      <c r="ADJ55" s="4">
        <v>0</v>
      </c>
      <c r="ADK55" s="4">
        <v>0</v>
      </c>
      <c r="ADL55" s="4">
        <v>0</v>
      </c>
      <c r="ADM55" s="4">
        <v>0</v>
      </c>
      <c r="ADN55" s="4">
        <v>0</v>
      </c>
      <c r="ADO55" s="4">
        <v>0</v>
      </c>
      <c r="ADP55" s="4">
        <v>0</v>
      </c>
      <c r="ADQ55" s="4">
        <v>0</v>
      </c>
      <c r="ADR55" s="4">
        <v>0</v>
      </c>
      <c r="ADS55" s="4">
        <v>0</v>
      </c>
      <c r="ADT55" s="4">
        <v>0</v>
      </c>
      <c r="ADU55" s="4">
        <v>0</v>
      </c>
      <c r="ADV55" s="4">
        <v>0</v>
      </c>
      <c r="ADW55" s="4">
        <v>0</v>
      </c>
      <c r="ADX55" s="4">
        <v>0</v>
      </c>
      <c r="ADY55" s="4">
        <v>0</v>
      </c>
      <c r="ADZ55" s="4">
        <v>0</v>
      </c>
      <c r="AEA55" s="4">
        <v>0</v>
      </c>
      <c r="AEB55" s="4">
        <v>0</v>
      </c>
      <c r="AEC55" s="4">
        <v>0</v>
      </c>
      <c r="AED55" s="4">
        <v>0</v>
      </c>
      <c r="AEE55" s="4">
        <v>0</v>
      </c>
      <c r="AEF55" s="4">
        <v>0</v>
      </c>
      <c r="AEG55" s="4">
        <v>0</v>
      </c>
      <c r="AEH55" s="4">
        <v>0</v>
      </c>
      <c r="AEI55" s="4">
        <v>0</v>
      </c>
      <c r="AEJ55" s="4">
        <v>0</v>
      </c>
      <c r="AEK55" s="4">
        <v>0</v>
      </c>
      <c r="AEL55" s="4">
        <v>0</v>
      </c>
      <c r="AEM55" s="4">
        <v>0</v>
      </c>
      <c r="AEN55" s="4">
        <v>0</v>
      </c>
      <c r="AEO55" s="4">
        <v>0</v>
      </c>
      <c r="AEP55" s="4">
        <v>0</v>
      </c>
      <c r="AEQ55" s="4">
        <v>0</v>
      </c>
      <c r="AER55" s="4">
        <v>0</v>
      </c>
      <c r="AES55" s="4">
        <v>0</v>
      </c>
      <c r="AET55" s="4">
        <v>0</v>
      </c>
      <c r="AEU55" s="4">
        <v>0</v>
      </c>
      <c r="AEV55" s="4">
        <v>0</v>
      </c>
      <c r="AEW55" s="4">
        <v>0</v>
      </c>
      <c r="AEX55" s="4">
        <v>0</v>
      </c>
      <c r="AEY55" s="4">
        <v>0</v>
      </c>
      <c r="AEZ55" s="4">
        <v>0</v>
      </c>
      <c r="AFA55" s="4">
        <v>0</v>
      </c>
      <c r="AFB55" s="4">
        <v>0</v>
      </c>
      <c r="AFC55" s="4">
        <v>0</v>
      </c>
      <c r="AFD55" s="4">
        <v>0</v>
      </c>
      <c r="AFE55" s="4">
        <v>0</v>
      </c>
      <c r="AFF55" s="4">
        <v>0</v>
      </c>
      <c r="AFG55" s="4">
        <v>0</v>
      </c>
      <c r="AFH55" s="4">
        <v>0</v>
      </c>
      <c r="AFI55" s="4">
        <v>0</v>
      </c>
      <c r="AFJ55" s="4">
        <v>0</v>
      </c>
      <c r="AFK55" s="4">
        <v>0</v>
      </c>
      <c r="AFL55" s="4">
        <v>0</v>
      </c>
      <c r="AFM55" s="4">
        <v>0</v>
      </c>
      <c r="AFN55" s="4">
        <v>5</v>
      </c>
      <c r="AFO55" s="4">
        <v>58</v>
      </c>
      <c r="AFP55" s="4">
        <v>31</v>
      </c>
      <c r="AFQ55" s="4">
        <v>36</v>
      </c>
      <c r="AFR55" s="4">
        <v>10</v>
      </c>
      <c r="AFS55" s="4">
        <v>0</v>
      </c>
      <c r="AFT55" s="4">
        <v>0</v>
      </c>
      <c r="AFU55" s="4">
        <v>16</v>
      </c>
      <c r="AFV55" s="4">
        <v>8</v>
      </c>
      <c r="AFW55" s="4">
        <v>5</v>
      </c>
      <c r="AFX55" s="4">
        <v>2</v>
      </c>
      <c r="AFY55" s="4">
        <v>504</v>
      </c>
      <c r="AFZ55" s="4">
        <v>612</v>
      </c>
      <c r="AGA55" s="4">
        <v>1</v>
      </c>
      <c r="AGB55" s="4">
        <v>77</v>
      </c>
      <c r="AGC55" s="4">
        <v>3</v>
      </c>
      <c r="AGD55" s="4" t="s">
        <v>1680</v>
      </c>
      <c r="AGE55" s="4">
        <v>16</v>
      </c>
      <c r="AGF55" s="4" t="s">
        <v>1680</v>
      </c>
      <c r="AGG55" s="4">
        <v>24</v>
      </c>
      <c r="AGH55" s="4">
        <v>28</v>
      </c>
      <c r="AGI55" s="4">
        <v>8</v>
      </c>
      <c r="AGJ55" s="4">
        <v>0</v>
      </c>
      <c r="AGK55" s="4">
        <v>0</v>
      </c>
      <c r="AGL55" s="4">
        <v>0</v>
      </c>
      <c r="AGM55" s="4">
        <v>0</v>
      </c>
      <c r="AGN55" s="4">
        <v>0</v>
      </c>
      <c r="AGO55" s="4">
        <v>0</v>
      </c>
      <c r="AGP55" s="4">
        <v>0</v>
      </c>
      <c r="AGQ55" s="4">
        <v>0</v>
      </c>
      <c r="AGR55" s="4">
        <v>0.86</v>
      </c>
      <c r="AGS55" s="4">
        <v>0</v>
      </c>
      <c r="AGT55" s="4">
        <v>0</v>
      </c>
      <c r="AGU55" s="4">
        <v>0</v>
      </c>
      <c r="AGV55" s="4">
        <v>0</v>
      </c>
      <c r="AGW55" s="4">
        <v>0</v>
      </c>
      <c r="AGX55" s="4">
        <v>0</v>
      </c>
      <c r="AGY55" s="4">
        <v>0</v>
      </c>
      <c r="AGZ55" s="4">
        <v>0</v>
      </c>
      <c r="AHA55" s="4">
        <v>8</v>
      </c>
      <c r="AHB55" s="4">
        <v>5</v>
      </c>
      <c r="AHC55" s="4">
        <v>0</v>
      </c>
      <c r="AHD55" s="4">
        <v>0</v>
      </c>
      <c r="AHE55" s="4">
        <v>0</v>
      </c>
      <c r="AHF55" s="4">
        <v>0</v>
      </c>
      <c r="AHG55" s="4">
        <v>0</v>
      </c>
      <c r="AHH55" s="4">
        <v>0</v>
      </c>
      <c r="AHI55" s="4">
        <v>0</v>
      </c>
      <c r="AHJ55" s="4">
        <v>0</v>
      </c>
      <c r="AHK55" s="4">
        <v>0</v>
      </c>
      <c r="AHL55" s="4">
        <v>0</v>
      </c>
      <c r="AHM55" s="4">
        <v>0</v>
      </c>
      <c r="AHN55" s="4">
        <v>0</v>
      </c>
      <c r="AHO55" s="4">
        <v>0</v>
      </c>
      <c r="AHP55" s="4">
        <v>0</v>
      </c>
      <c r="AHQ55" s="4">
        <v>0</v>
      </c>
      <c r="AHR55" s="4">
        <v>0</v>
      </c>
      <c r="AHS55" s="4">
        <v>0</v>
      </c>
      <c r="AHT55" s="4">
        <v>0</v>
      </c>
      <c r="AHU55" s="4">
        <v>0</v>
      </c>
      <c r="AHV55" s="4">
        <v>1</v>
      </c>
      <c r="AHW55" s="4">
        <v>0</v>
      </c>
      <c r="AHX55" s="4">
        <v>0</v>
      </c>
      <c r="AHY55" s="4">
        <v>0</v>
      </c>
      <c r="AHZ55" s="4">
        <v>0</v>
      </c>
      <c r="AIA55" s="4">
        <v>0</v>
      </c>
      <c r="AIB55" s="4">
        <v>0</v>
      </c>
      <c r="AIC55" s="4">
        <v>0</v>
      </c>
      <c r="AID55" s="4">
        <v>0</v>
      </c>
      <c r="AIE55" s="4">
        <v>0</v>
      </c>
      <c r="AIF55" s="4">
        <v>0</v>
      </c>
      <c r="AIG55" s="4">
        <v>0</v>
      </c>
      <c r="AIH55" s="4">
        <v>0</v>
      </c>
      <c r="AII55" s="4">
        <v>0</v>
      </c>
      <c r="AIJ55" s="4">
        <v>0</v>
      </c>
      <c r="AIK55" s="4">
        <v>0</v>
      </c>
      <c r="AIL55" s="4">
        <v>0</v>
      </c>
      <c r="AIM55" s="4">
        <v>0</v>
      </c>
      <c r="AIN55" s="4">
        <v>0</v>
      </c>
      <c r="AIO55" s="4">
        <v>0</v>
      </c>
      <c r="AIP55" s="4">
        <v>0</v>
      </c>
      <c r="AIQ55" s="4">
        <v>0</v>
      </c>
      <c r="AIR55" s="4">
        <v>0</v>
      </c>
      <c r="AIS55" s="4">
        <v>0</v>
      </c>
      <c r="AIT55" s="4">
        <v>0</v>
      </c>
      <c r="AIU55" s="4">
        <v>2</v>
      </c>
      <c r="AIV55" s="4">
        <v>3</v>
      </c>
      <c r="AIW55" s="4">
        <v>0</v>
      </c>
      <c r="AIX55" s="4">
        <v>0</v>
      </c>
      <c r="AIY55" s="4">
        <v>0</v>
      </c>
      <c r="AIZ55" s="4">
        <v>0</v>
      </c>
      <c r="AJA55" s="4">
        <v>0</v>
      </c>
      <c r="AJB55" s="4">
        <v>0</v>
      </c>
      <c r="AJC55" s="4">
        <v>4</v>
      </c>
      <c r="AJD55" s="4">
        <v>0</v>
      </c>
      <c r="AJE55" s="4">
        <v>0</v>
      </c>
      <c r="AJF55" s="4">
        <v>0</v>
      </c>
      <c r="AJG55" s="4">
        <v>0</v>
      </c>
      <c r="AJH55" s="4">
        <v>0</v>
      </c>
      <c r="AJI55" s="4">
        <v>0</v>
      </c>
      <c r="AJJ55" s="4">
        <v>0</v>
      </c>
      <c r="AJK55" s="4">
        <v>0</v>
      </c>
      <c r="AJL55" s="4">
        <v>0</v>
      </c>
      <c r="AJM55" s="4">
        <v>0</v>
      </c>
      <c r="AJN55" s="4">
        <v>0</v>
      </c>
      <c r="AJO55" s="4">
        <v>0</v>
      </c>
      <c r="AJP55" s="4">
        <v>0</v>
      </c>
      <c r="AJQ55" s="4">
        <v>0</v>
      </c>
      <c r="AJR55" s="4">
        <v>0</v>
      </c>
      <c r="AJS55" s="4">
        <v>0</v>
      </c>
      <c r="AJT55" s="4">
        <v>0</v>
      </c>
      <c r="AJU55" s="4">
        <v>0</v>
      </c>
      <c r="AJV55" s="4">
        <v>0</v>
      </c>
      <c r="AJW55" s="4">
        <v>0</v>
      </c>
      <c r="AJX55" s="4">
        <v>0</v>
      </c>
      <c r="AJY55" s="4">
        <v>0</v>
      </c>
      <c r="AJZ55" s="4">
        <v>0</v>
      </c>
      <c r="AKA55" s="4">
        <v>0</v>
      </c>
      <c r="AKB55" s="4">
        <v>0</v>
      </c>
      <c r="AKC55" s="4">
        <v>0</v>
      </c>
      <c r="AKD55" s="4">
        <v>0</v>
      </c>
      <c r="AKE55" s="4">
        <v>0</v>
      </c>
      <c r="AKF55" s="4">
        <v>0</v>
      </c>
      <c r="AKG55" s="4">
        <v>0</v>
      </c>
      <c r="AKH55" s="4">
        <v>0</v>
      </c>
      <c r="AKI55" s="4">
        <v>0</v>
      </c>
      <c r="AKJ55" s="4">
        <v>0</v>
      </c>
      <c r="AKK55" s="4">
        <v>0</v>
      </c>
      <c r="AKL55" s="4">
        <v>0</v>
      </c>
      <c r="AKM55" s="4">
        <v>1</v>
      </c>
      <c r="AKN55" s="4">
        <v>0</v>
      </c>
      <c r="AKO55" s="4">
        <v>0</v>
      </c>
      <c r="AKP55" s="4">
        <v>0</v>
      </c>
      <c r="AKQ55" s="4">
        <v>0</v>
      </c>
      <c r="AKR55" s="4">
        <v>0</v>
      </c>
      <c r="AKS55" s="4">
        <v>0</v>
      </c>
      <c r="AKT55" s="4">
        <v>2</v>
      </c>
      <c r="AKU55" s="4">
        <v>0</v>
      </c>
      <c r="AKV55" s="4">
        <v>0</v>
      </c>
      <c r="AKW55" s="4">
        <v>0</v>
      </c>
      <c r="AKX55" s="4">
        <v>0</v>
      </c>
      <c r="AKY55" s="4">
        <v>0</v>
      </c>
      <c r="AKZ55" s="4">
        <v>1</v>
      </c>
      <c r="ALA55" s="4">
        <v>0</v>
      </c>
      <c r="ALB55" s="4">
        <v>0</v>
      </c>
      <c r="ALC55" s="4">
        <v>0</v>
      </c>
      <c r="ALD55" s="4">
        <v>0</v>
      </c>
      <c r="ALE55" s="4">
        <v>1</v>
      </c>
      <c r="ALF55" s="4">
        <v>0</v>
      </c>
      <c r="ALG55" s="4">
        <v>8</v>
      </c>
      <c r="ALH55" s="4">
        <v>0</v>
      </c>
      <c r="ALI55" s="4">
        <v>0</v>
      </c>
      <c r="ALJ55" s="4">
        <v>0</v>
      </c>
      <c r="ALK55" s="4">
        <v>0</v>
      </c>
      <c r="ALL55" s="4">
        <v>0</v>
      </c>
      <c r="ALM55" s="4">
        <v>0</v>
      </c>
      <c r="ALN55" s="4">
        <v>0</v>
      </c>
      <c r="ALO55" s="4">
        <v>0</v>
      </c>
      <c r="ALP55" s="4">
        <v>0</v>
      </c>
      <c r="ALQ55" s="4">
        <v>0</v>
      </c>
      <c r="ALR55" s="4">
        <v>15</v>
      </c>
      <c r="ALS55" s="4">
        <v>3</v>
      </c>
      <c r="ALT55" s="4">
        <v>0</v>
      </c>
      <c r="ALU55" s="4">
        <v>0</v>
      </c>
      <c r="ALV55" s="4">
        <v>0</v>
      </c>
      <c r="ALW55" s="4">
        <v>0</v>
      </c>
      <c r="ALX55" s="4">
        <v>0</v>
      </c>
      <c r="ALY55" s="4">
        <v>0</v>
      </c>
      <c r="ALZ55" s="4">
        <v>0</v>
      </c>
      <c r="AMA55" s="4">
        <v>0</v>
      </c>
      <c r="AMB55" s="4">
        <v>0</v>
      </c>
      <c r="AMC55" s="4">
        <v>0</v>
      </c>
      <c r="AMD55" s="4">
        <v>0</v>
      </c>
      <c r="AME55" s="4">
        <v>0</v>
      </c>
      <c r="AMF55" s="4">
        <v>0</v>
      </c>
      <c r="AMG55" s="4">
        <v>0</v>
      </c>
      <c r="AMH55" s="4">
        <v>0</v>
      </c>
      <c r="AMI55" s="4">
        <v>0</v>
      </c>
      <c r="AMJ55" s="4">
        <v>0</v>
      </c>
      <c r="AMK55" s="4">
        <v>0</v>
      </c>
      <c r="AML55" s="4">
        <v>0</v>
      </c>
      <c r="AMM55" s="4">
        <v>0</v>
      </c>
      <c r="AMN55" s="4">
        <v>0</v>
      </c>
      <c r="AMO55" s="4">
        <v>0</v>
      </c>
      <c r="AMP55" s="4">
        <v>0</v>
      </c>
      <c r="AMQ55" s="4">
        <v>0</v>
      </c>
      <c r="AMR55" s="4">
        <v>0</v>
      </c>
      <c r="AMS55" s="4">
        <v>3</v>
      </c>
      <c r="AMT55" s="4">
        <v>0</v>
      </c>
      <c r="AMU55" s="4">
        <v>0</v>
      </c>
      <c r="AMV55" s="4">
        <v>0</v>
      </c>
      <c r="AMW55" s="4">
        <v>0</v>
      </c>
      <c r="AMX55" s="4">
        <v>0</v>
      </c>
      <c r="AMY55" s="4">
        <v>0</v>
      </c>
      <c r="AMZ55" s="4">
        <v>0</v>
      </c>
      <c r="ANA55" s="4">
        <v>0</v>
      </c>
      <c r="ANB55" s="4">
        <v>0</v>
      </c>
      <c r="ANC55" s="4">
        <v>0</v>
      </c>
      <c r="AND55" s="4">
        <v>0</v>
      </c>
      <c r="ANE55" s="4">
        <v>0</v>
      </c>
      <c r="ANF55" s="4">
        <v>6</v>
      </c>
      <c r="ANG55" s="4">
        <v>0</v>
      </c>
      <c r="ANH55" s="4">
        <v>3</v>
      </c>
      <c r="ANI55" s="4">
        <v>0</v>
      </c>
      <c r="ANJ55" s="4">
        <v>0</v>
      </c>
      <c r="ANK55" s="4">
        <v>0</v>
      </c>
      <c r="ANL55" s="4">
        <v>0</v>
      </c>
      <c r="ANM55" s="4">
        <v>0</v>
      </c>
      <c r="ANN55" s="4">
        <v>0</v>
      </c>
      <c r="ANO55" s="4">
        <v>0</v>
      </c>
      <c r="ANP55" s="4">
        <v>0</v>
      </c>
      <c r="ANQ55" s="4">
        <v>1</v>
      </c>
      <c r="ANR55" s="4">
        <v>0</v>
      </c>
      <c r="ANS55" s="4">
        <v>0</v>
      </c>
      <c r="ANT55" s="4">
        <v>0</v>
      </c>
      <c r="ANU55" s="4">
        <v>8</v>
      </c>
      <c r="ANV55" s="4">
        <v>0</v>
      </c>
      <c r="ANW55" s="4">
        <v>0</v>
      </c>
      <c r="ANX55" s="4">
        <v>0</v>
      </c>
      <c r="ANY55" s="4">
        <v>0</v>
      </c>
      <c r="ANZ55" s="4">
        <v>0</v>
      </c>
      <c r="AOA55" s="4">
        <v>0</v>
      </c>
      <c r="AOB55" s="4">
        <v>0</v>
      </c>
      <c r="AOC55" s="4">
        <v>0</v>
      </c>
      <c r="AOD55" s="4">
        <v>0</v>
      </c>
      <c r="AOE55" s="4">
        <v>0</v>
      </c>
      <c r="AOF55" s="4">
        <v>0</v>
      </c>
      <c r="AOG55" s="4">
        <v>1</v>
      </c>
      <c r="AOH55" s="4">
        <v>0</v>
      </c>
      <c r="AOI55" s="4">
        <v>0</v>
      </c>
      <c r="AOJ55" s="4">
        <v>0</v>
      </c>
      <c r="AOK55" s="4">
        <v>0</v>
      </c>
      <c r="AOL55" s="4">
        <v>0</v>
      </c>
      <c r="AOM55" s="4">
        <v>0</v>
      </c>
      <c r="AON55" s="4">
        <v>0</v>
      </c>
      <c r="AOO55" s="4">
        <v>0</v>
      </c>
      <c r="AOP55" s="4">
        <v>0</v>
      </c>
      <c r="AOQ55" s="4">
        <v>0</v>
      </c>
      <c r="AOR55" s="4">
        <v>0</v>
      </c>
      <c r="AOS55" s="4">
        <v>0</v>
      </c>
      <c r="AOT55" s="4">
        <v>0</v>
      </c>
      <c r="AOU55" s="4">
        <v>0</v>
      </c>
      <c r="AOV55" s="4">
        <v>0</v>
      </c>
      <c r="AOW55" s="4">
        <v>0</v>
      </c>
      <c r="AOX55" s="4">
        <v>0</v>
      </c>
      <c r="AOY55" s="4">
        <v>0</v>
      </c>
      <c r="AOZ55" s="4">
        <v>0</v>
      </c>
      <c r="APA55" s="4">
        <v>0</v>
      </c>
      <c r="APB55" s="4">
        <v>0</v>
      </c>
      <c r="APC55" s="4">
        <v>0</v>
      </c>
      <c r="APD55" s="4">
        <v>1</v>
      </c>
      <c r="APE55" s="4">
        <v>0</v>
      </c>
      <c r="APF55" s="4">
        <v>0</v>
      </c>
      <c r="APG55" s="4">
        <v>0</v>
      </c>
      <c r="APH55" s="4">
        <v>0</v>
      </c>
      <c r="API55" s="4">
        <v>0</v>
      </c>
      <c r="APJ55" s="4">
        <v>0</v>
      </c>
      <c r="APK55" s="4">
        <v>0</v>
      </c>
      <c r="APL55" s="4">
        <v>0</v>
      </c>
      <c r="APM55" s="4">
        <v>0</v>
      </c>
      <c r="APN55" s="4">
        <v>0</v>
      </c>
      <c r="APO55" s="4">
        <v>0</v>
      </c>
      <c r="APP55" s="4">
        <v>0</v>
      </c>
      <c r="APQ55" s="4">
        <v>0</v>
      </c>
      <c r="APR55" s="4">
        <v>0</v>
      </c>
      <c r="APS55" s="4">
        <v>0</v>
      </c>
      <c r="APT55" s="4">
        <v>0</v>
      </c>
      <c r="APU55" s="4">
        <v>0</v>
      </c>
      <c r="APV55" s="4">
        <v>0</v>
      </c>
      <c r="APW55" s="4">
        <v>0</v>
      </c>
      <c r="APX55" s="4">
        <v>0</v>
      </c>
      <c r="APY55" s="4">
        <v>0</v>
      </c>
      <c r="APZ55" s="4">
        <v>0</v>
      </c>
      <c r="AQA55" s="4">
        <v>0</v>
      </c>
      <c r="AQB55" s="4">
        <v>0</v>
      </c>
      <c r="AQC55" s="4">
        <v>0</v>
      </c>
      <c r="AQD55" s="4">
        <v>0</v>
      </c>
      <c r="AQE55" s="4">
        <v>0</v>
      </c>
      <c r="AQF55" s="4">
        <v>0</v>
      </c>
      <c r="AQG55" s="4">
        <v>0</v>
      </c>
      <c r="AQH55" s="4">
        <v>0</v>
      </c>
      <c r="AQI55" s="4">
        <v>0</v>
      </c>
      <c r="AQJ55" s="4">
        <v>0</v>
      </c>
      <c r="AQK55" s="4">
        <v>0</v>
      </c>
      <c r="AQL55" s="4">
        <v>0</v>
      </c>
      <c r="AQM55" s="4">
        <v>0</v>
      </c>
      <c r="AQN55" s="4">
        <v>0</v>
      </c>
      <c r="AQO55" s="4">
        <v>0</v>
      </c>
      <c r="AQP55" s="4">
        <v>0</v>
      </c>
      <c r="AQQ55" s="4">
        <v>0</v>
      </c>
      <c r="AQR55" s="4">
        <v>0</v>
      </c>
      <c r="AQS55" s="4">
        <v>0</v>
      </c>
      <c r="AQT55" s="4">
        <v>0</v>
      </c>
      <c r="AQU55" s="4">
        <v>0</v>
      </c>
      <c r="AQV55" s="4">
        <v>0</v>
      </c>
      <c r="AQW55" s="4">
        <v>0</v>
      </c>
      <c r="AQX55" s="4">
        <v>0</v>
      </c>
      <c r="AQY55" s="4">
        <v>0</v>
      </c>
      <c r="AQZ55" s="4">
        <v>0</v>
      </c>
      <c r="ARA55" s="4">
        <v>0</v>
      </c>
      <c r="ARB55" s="4">
        <v>0</v>
      </c>
      <c r="ARC55" s="4">
        <v>0</v>
      </c>
      <c r="ARD55" s="4">
        <v>0</v>
      </c>
      <c r="ARE55" s="4">
        <v>0</v>
      </c>
      <c r="ARF55" s="4">
        <v>0</v>
      </c>
      <c r="ARG55" s="4">
        <v>0</v>
      </c>
      <c r="ARH55" s="4">
        <v>0</v>
      </c>
      <c r="ARI55" s="4">
        <v>0</v>
      </c>
      <c r="ARJ55" s="4">
        <v>0</v>
      </c>
      <c r="ARK55" s="4">
        <v>0</v>
      </c>
      <c r="ARL55" s="4">
        <v>0</v>
      </c>
      <c r="ARM55" s="4">
        <v>0</v>
      </c>
      <c r="ARN55" s="4">
        <v>0</v>
      </c>
      <c r="ARO55" s="4">
        <v>0</v>
      </c>
      <c r="ARP55" s="4">
        <v>0</v>
      </c>
      <c r="ARQ55" s="4">
        <v>0</v>
      </c>
      <c r="ARR55" s="4">
        <v>0</v>
      </c>
      <c r="ARS55" s="4">
        <v>0</v>
      </c>
      <c r="ART55" s="4">
        <v>0</v>
      </c>
      <c r="ARU55" s="4">
        <v>0</v>
      </c>
      <c r="ARV55" s="4">
        <v>0</v>
      </c>
      <c r="ARW55" s="4">
        <v>0</v>
      </c>
      <c r="ARX55" s="4">
        <v>0</v>
      </c>
      <c r="ARY55" s="4">
        <v>0</v>
      </c>
      <c r="ARZ55" s="4">
        <v>0</v>
      </c>
      <c r="ASA55" s="4">
        <v>0</v>
      </c>
      <c r="ASB55" s="4">
        <v>0</v>
      </c>
      <c r="ASC55" s="4">
        <v>0</v>
      </c>
      <c r="ASD55" s="4">
        <v>0</v>
      </c>
      <c r="ASE55" s="4">
        <v>0</v>
      </c>
      <c r="ASF55" s="4">
        <v>0</v>
      </c>
      <c r="ASG55" s="4">
        <v>0</v>
      </c>
      <c r="ASH55" s="4">
        <v>0</v>
      </c>
      <c r="ASI55" s="4">
        <v>0</v>
      </c>
      <c r="ASJ55" s="4">
        <v>0</v>
      </c>
      <c r="ASK55" s="4">
        <v>0</v>
      </c>
      <c r="ASL55" s="4">
        <v>0</v>
      </c>
      <c r="ASM55" s="4">
        <v>0</v>
      </c>
      <c r="ASN55" s="4">
        <v>0</v>
      </c>
      <c r="ASO55" s="4">
        <v>0</v>
      </c>
      <c r="ASP55" s="4">
        <v>0</v>
      </c>
      <c r="ASQ55" s="4">
        <v>0</v>
      </c>
      <c r="ASR55" s="4">
        <v>0</v>
      </c>
      <c r="ASS55" s="4">
        <v>0</v>
      </c>
      <c r="AST55" s="4">
        <v>0</v>
      </c>
      <c r="ASU55" s="4">
        <v>0</v>
      </c>
      <c r="ASV55" s="4">
        <v>0</v>
      </c>
      <c r="ASW55" s="4">
        <v>0</v>
      </c>
      <c r="ASX55" s="4">
        <v>0</v>
      </c>
      <c r="ASY55" s="4">
        <v>0</v>
      </c>
      <c r="ASZ55" s="4">
        <v>0</v>
      </c>
      <c r="ATA55" s="4">
        <v>0</v>
      </c>
      <c r="ATB55" s="4">
        <v>0</v>
      </c>
      <c r="ATC55" s="4">
        <v>0</v>
      </c>
      <c r="ATD55" s="4">
        <v>0</v>
      </c>
      <c r="ATE55" s="4">
        <v>0</v>
      </c>
      <c r="ATF55" s="4">
        <v>0</v>
      </c>
      <c r="ATG55" s="4">
        <v>0</v>
      </c>
      <c r="ATH55" s="4">
        <v>0</v>
      </c>
      <c r="ATI55" s="4">
        <v>0</v>
      </c>
      <c r="ATJ55" s="4">
        <v>0</v>
      </c>
      <c r="ATK55" s="4">
        <v>0</v>
      </c>
      <c r="ATL55" s="4">
        <v>0</v>
      </c>
      <c r="ATM55" s="4">
        <v>0</v>
      </c>
      <c r="ATN55" s="4">
        <v>0</v>
      </c>
      <c r="ATO55" s="4">
        <v>0</v>
      </c>
      <c r="ATP55" s="4">
        <v>0</v>
      </c>
      <c r="ATQ55" s="4">
        <v>0</v>
      </c>
      <c r="ATR55" s="4">
        <v>0</v>
      </c>
      <c r="ATS55" s="4">
        <v>0</v>
      </c>
      <c r="ATT55" s="4">
        <v>0</v>
      </c>
      <c r="ATU55" s="4">
        <v>0</v>
      </c>
      <c r="ATV55" s="4">
        <v>0</v>
      </c>
      <c r="ATW55" s="4">
        <v>0</v>
      </c>
      <c r="ATX55" s="4">
        <v>0</v>
      </c>
      <c r="ATY55" s="4">
        <v>0</v>
      </c>
      <c r="ATZ55" s="4">
        <v>0</v>
      </c>
      <c r="AUA55" s="4">
        <v>0</v>
      </c>
      <c r="AUB55" s="4">
        <v>0</v>
      </c>
      <c r="AUC55" s="4">
        <v>0</v>
      </c>
      <c r="AUD55" s="4">
        <v>0</v>
      </c>
      <c r="AUE55" s="4">
        <v>0</v>
      </c>
      <c r="AUF55" s="4">
        <v>0</v>
      </c>
      <c r="AUG55" s="4">
        <v>0</v>
      </c>
      <c r="AUH55" s="4">
        <v>0</v>
      </c>
      <c r="AUI55" s="4">
        <v>0</v>
      </c>
      <c r="AUJ55" s="4">
        <v>0</v>
      </c>
      <c r="AUK55" s="4">
        <v>0</v>
      </c>
      <c r="AUL55" s="4">
        <v>0</v>
      </c>
      <c r="AUM55" s="4">
        <v>0</v>
      </c>
      <c r="AUN55" s="4">
        <v>0</v>
      </c>
      <c r="AUO55" s="4">
        <v>0</v>
      </c>
      <c r="AUP55" s="4">
        <v>0</v>
      </c>
      <c r="AUQ55" s="4">
        <v>0</v>
      </c>
      <c r="AUR55" s="4">
        <v>0</v>
      </c>
      <c r="AUS55" s="4">
        <v>0</v>
      </c>
      <c r="AUT55" s="4">
        <v>0</v>
      </c>
      <c r="AUU55" s="4">
        <v>0</v>
      </c>
      <c r="AUV55" s="4">
        <v>0</v>
      </c>
      <c r="AUW55" s="4">
        <v>0</v>
      </c>
      <c r="AUX55" s="4">
        <v>0</v>
      </c>
      <c r="AUY55" s="4">
        <v>0</v>
      </c>
      <c r="AUZ55" s="4">
        <v>0</v>
      </c>
      <c r="AVA55" s="4">
        <v>0</v>
      </c>
      <c r="AVB55" s="4">
        <v>0</v>
      </c>
      <c r="AVC55" s="4">
        <v>0</v>
      </c>
      <c r="AVD55" s="4">
        <v>0</v>
      </c>
      <c r="AVE55" s="4">
        <v>0</v>
      </c>
      <c r="AVF55" s="4">
        <v>0</v>
      </c>
      <c r="AVG55" s="4">
        <v>0</v>
      </c>
      <c r="AVH55" s="4">
        <v>0</v>
      </c>
      <c r="AVI55" s="4">
        <v>0</v>
      </c>
      <c r="AVJ55" s="4">
        <v>0</v>
      </c>
      <c r="AVK55" s="4">
        <v>0</v>
      </c>
      <c r="AVL55" s="4">
        <v>0</v>
      </c>
      <c r="AVM55" s="4">
        <v>6</v>
      </c>
      <c r="AVN55" s="4">
        <v>75</v>
      </c>
      <c r="AVO55" s="4">
        <v>24</v>
      </c>
      <c r="AVP55" s="4">
        <v>37</v>
      </c>
      <c r="AVQ55" s="4">
        <v>11</v>
      </c>
      <c r="AVR55" s="4">
        <v>0</v>
      </c>
      <c r="AVS55" s="4">
        <v>1</v>
      </c>
      <c r="AVT55" s="4">
        <v>11</v>
      </c>
      <c r="AVU55" s="4">
        <v>5</v>
      </c>
      <c r="AVV55" s="4">
        <v>4</v>
      </c>
      <c r="AVW55" s="4">
        <v>4</v>
      </c>
      <c r="AVX55" s="4">
        <v>500</v>
      </c>
      <c r="AVY55" s="4">
        <v>612</v>
      </c>
      <c r="AVZ55" s="4">
        <v>0</v>
      </c>
      <c r="AWA55" s="4">
        <v>69</v>
      </c>
      <c r="AWB55" s="4">
        <v>3</v>
      </c>
      <c r="AWC55" s="4" t="s">
        <v>1676</v>
      </c>
      <c r="AWD55" s="4">
        <v>12</v>
      </c>
      <c r="AWE55" s="4" t="s">
        <v>1676</v>
      </c>
      <c r="AWF55" s="4">
        <v>21</v>
      </c>
      <c r="AWG55" s="4">
        <v>13</v>
      </c>
      <c r="AWH55" s="4">
        <v>6</v>
      </c>
      <c r="AWI55" s="4">
        <v>0</v>
      </c>
      <c r="AWJ55" s="4">
        <v>0</v>
      </c>
      <c r="AWK55" s="4">
        <v>0</v>
      </c>
      <c r="AWL55" s="4">
        <v>0</v>
      </c>
      <c r="AWM55" s="4">
        <v>0</v>
      </c>
      <c r="AWN55" s="4">
        <v>0</v>
      </c>
      <c r="AWO55" s="4">
        <v>0</v>
      </c>
      <c r="AWP55" s="4">
        <v>0</v>
      </c>
      <c r="AWQ55" s="4">
        <v>0.65</v>
      </c>
      <c r="AWR55" s="4">
        <v>0</v>
      </c>
      <c r="AWS55" s="4">
        <v>0</v>
      </c>
      <c r="AWT55" s="4">
        <v>0</v>
      </c>
      <c r="AWU55" s="4">
        <v>0</v>
      </c>
      <c r="AWV55" s="4">
        <v>0</v>
      </c>
      <c r="AWW55" s="4">
        <v>0</v>
      </c>
      <c r="AWX55" s="4">
        <v>0</v>
      </c>
      <c r="AWY55" s="4">
        <v>0</v>
      </c>
      <c r="AWZ55" s="4">
        <v>10</v>
      </c>
      <c r="AXA55" s="4">
        <v>6</v>
      </c>
      <c r="AXB55" s="4">
        <v>0</v>
      </c>
      <c r="AXC55" s="4">
        <v>0</v>
      </c>
      <c r="AXD55" s="4">
        <v>0</v>
      </c>
      <c r="AXE55" s="4">
        <v>0</v>
      </c>
      <c r="AXF55" s="4">
        <v>0</v>
      </c>
      <c r="AXG55" s="4">
        <v>0</v>
      </c>
      <c r="AXH55" s="4">
        <v>0</v>
      </c>
      <c r="AXI55" s="4">
        <v>0</v>
      </c>
      <c r="AXJ55" s="4">
        <v>0</v>
      </c>
      <c r="AXK55" s="4">
        <v>0</v>
      </c>
      <c r="AXL55" s="4">
        <v>0</v>
      </c>
      <c r="AXM55" s="4">
        <v>0</v>
      </c>
      <c r="AXN55" s="4">
        <v>0</v>
      </c>
      <c r="AXO55" s="4">
        <v>0</v>
      </c>
      <c r="AXP55" s="4">
        <v>0</v>
      </c>
      <c r="AXQ55" s="4">
        <v>0</v>
      </c>
      <c r="AXR55" s="4">
        <v>0</v>
      </c>
      <c r="AXS55" s="4">
        <v>0</v>
      </c>
      <c r="AXT55" s="4">
        <v>0</v>
      </c>
      <c r="AXU55" s="4">
        <v>0</v>
      </c>
      <c r="AXV55" s="4">
        <v>0</v>
      </c>
      <c r="AXW55" s="4">
        <v>0</v>
      </c>
      <c r="AXX55" s="4">
        <v>0</v>
      </c>
      <c r="AXY55" s="4">
        <v>0</v>
      </c>
      <c r="AXZ55" s="4">
        <v>0</v>
      </c>
      <c r="AYA55" s="4">
        <v>0</v>
      </c>
      <c r="AYB55" s="4">
        <v>0</v>
      </c>
      <c r="AYC55" s="4">
        <v>0</v>
      </c>
      <c r="AYD55" s="4">
        <v>0</v>
      </c>
      <c r="AYE55" s="4">
        <v>0</v>
      </c>
      <c r="AYF55" s="4">
        <v>0</v>
      </c>
      <c r="AYG55" s="4">
        <v>0</v>
      </c>
      <c r="AYH55" s="4">
        <v>0</v>
      </c>
      <c r="AYI55" s="4">
        <v>0</v>
      </c>
      <c r="AYJ55" s="4">
        <v>0</v>
      </c>
      <c r="AYK55" s="4">
        <v>0</v>
      </c>
      <c r="AYL55" s="4">
        <v>0</v>
      </c>
      <c r="AYM55" s="4">
        <v>0</v>
      </c>
      <c r="AYN55" s="4">
        <v>0</v>
      </c>
      <c r="AYO55" s="4">
        <v>0</v>
      </c>
      <c r="AYP55" s="4">
        <v>0</v>
      </c>
      <c r="AYQ55" s="4">
        <v>0</v>
      </c>
      <c r="AYR55" s="4">
        <v>0</v>
      </c>
      <c r="AYS55" s="4">
        <v>0</v>
      </c>
      <c r="AYT55" s="4">
        <v>2</v>
      </c>
      <c r="AYU55" s="4">
        <v>5</v>
      </c>
      <c r="AYV55" s="4">
        <v>0</v>
      </c>
      <c r="AYW55" s="4">
        <v>0</v>
      </c>
      <c r="AYX55" s="4">
        <v>0</v>
      </c>
      <c r="AYY55" s="4">
        <v>0</v>
      </c>
      <c r="AYZ55" s="4">
        <v>0</v>
      </c>
      <c r="AZA55" s="4">
        <v>0</v>
      </c>
      <c r="AZB55" s="4">
        <v>2</v>
      </c>
      <c r="AZC55" s="4">
        <v>0</v>
      </c>
      <c r="AZD55" s="4">
        <v>0</v>
      </c>
      <c r="AZE55" s="4">
        <v>0</v>
      </c>
      <c r="AZF55" s="4">
        <v>0</v>
      </c>
      <c r="AZG55" s="4">
        <v>0</v>
      </c>
      <c r="AZH55" s="4">
        <v>0</v>
      </c>
      <c r="AZI55" s="4">
        <v>0</v>
      </c>
      <c r="AZJ55" s="4">
        <v>0</v>
      </c>
      <c r="AZK55" s="4">
        <v>0</v>
      </c>
      <c r="AZL55" s="4">
        <v>0</v>
      </c>
      <c r="AZM55" s="4">
        <v>0</v>
      </c>
      <c r="AZN55" s="4">
        <v>0</v>
      </c>
      <c r="AZO55" s="4">
        <v>0</v>
      </c>
      <c r="AZP55" s="4">
        <v>0</v>
      </c>
      <c r="AZQ55" s="4">
        <v>0</v>
      </c>
      <c r="AZR55" s="4">
        <v>0</v>
      </c>
      <c r="AZS55" s="4">
        <v>0</v>
      </c>
      <c r="AZT55" s="4">
        <v>0</v>
      </c>
      <c r="AZU55" s="4">
        <v>0</v>
      </c>
      <c r="AZV55" s="4">
        <v>0</v>
      </c>
      <c r="AZW55" s="4">
        <v>0</v>
      </c>
      <c r="AZX55" s="4">
        <v>0</v>
      </c>
      <c r="AZY55" s="4">
        <v>0</v>
      </c>
      <c r="AZZ55" s="4">
        <v>0</v>
      </c>
      <c r="BAA55" s="4">
        <v>0</v>
      </c>
      <c r="BAB55" s="4">
        <v>0</v>
      </c>
      <c r="BAC55" s="4">
        <v>0</v>
      </c>
      <c r="BAD55" s="4">
        <v>0</v>
      </c>
      <c r="BAE55" s="4">
        <v>0</v>
      </c>
      <c r="BAF55" s="4">
        <v>0</v>
      </c>
      <c r="BAG55" s="4">
        <v>0</v>
      </c>
      <c r="BAH55" s="4">
        <v>0</v>
      </c>
      <c r="BAI55" s="4">
        <v>0</v>
      </c>
      <c r="BAJ55" s="4">
        <v>0</v>
      </c>
      <c r="BAK55" s="4">
        <v>0</v>
      </c>
      <c r="BAL55" s="4">
        <v>0</v>
      </c>
      <c r="BAM55" s="4">
        <v>0</v>
      </c>
      <c r="BAN55" s="4">
        <v>0</v>
      </c>
      <c r="BAO55" s="4">
        <v>0</v>
      </c>
      <c r="BAP55" s="4">
        <v>0</v>
      </c>
      <c r="BAQ55" s="4">
        <v>0</v>
      </c>
      <c r="BAR55" s="4">
        <v>0</v>
      </c>
      <c r="BAS55" s="4">
        <v>3</v>
      </c>
      <c r="BAT55" s="4">
        <v>0</v>
      </c>
      <c r="BAU55" s="4">
        <v>0</v>
      </c>
      <c r="BAV55" s="4">
        <v>0</v>
      </c>
      <c r="BAW55" s="4">
        <v>1</v>
      </c>
      <c r="BAX55" s="4">
        <v>0</v>
      </c>
      <c r="BAY55" s="4">
        <v>2</v>
      </c>
      <c r="BAZ55" s="4">
        <v>0</v>
      </c>
      <c r="BBA55" s="4">
        <v>0</v>
      </c>
      <c r="BBB55" s="4">
        <v>0</v>
      </c>
      <c r="BBC55" s="4">
        <v>0</v>
      </c>
      <c r="BBD55" s="4">
        <v>4</v>
      </c>
      <c r="BBE55" s="4">
        <v>0</v>
      </c>
      <c r="BBF55" s="4">
        <v>5</v>
      </c>
      <c r="BBG55" s="4">
        <v>0</v>
      </c>
      <c r="BBH55" s="4">
        <v>0</v>
      </c>
      <c r="BBI55" s="4">
        <v>0</v>
      </c>
      <c r="BBJ55" s="4">
        <v>0</v>
      </c>
      <c r="BBK55" s="4">
        <v>0</v>
      </c>
      <c r="BBL55" s="4">
        <v>0</v>
      </c>
      <c r="BBM55" s="4">
        <v>0</v>
      </c>
      <c r="BBN55" s="4">
        <v>0</v>
      </c>
      <c r="BBO55" s="4">
        <v>0</v>
      </c>
      <c r="BBP55" s="4">
        <v>0</v>
      </c>
      <c r="BBQ55" s="4">
        <v>11</v>
      </c>
      <c r="BBR55" s="4">
        <v>0</v>
      </c>
      <c r="BBS55" s="4">
        <v>0</v>
      </c>
      <c r="BBT55" s="4">
        <v>0</v>
      </c>
      <c r="BBU55" s="4">
        <v>0</v>
      </c>
      <c r="BBV55" s="4">
        <v>0</v>
      </c>
      <c r="BBW55" s="4">
        <v>0</v>
      </c>
      <c r="BBX55" s="4">
        <v>0</v>
      </c>
      <c r="BBY55" s="4">
        <v>0</v>
      </c>
      <c r="BBZ55" s="4">
        <v>0</v>
      </c>
      <c r="BCA55" s="4">
        <v>0</v>
      </c>
      <c r="BCB55" s="4">
        <v>0</v>
      </c>
      <c r="BCC55" s="4">
        <v>0</v>
      </c>
      <c r="BCD55" s="4">
        <v>0</v>
      </c>
      <c r="BCE55" s="4">
        <v>0</v>
      </c>
      <c r="BCF55" s="4">
        <v>0</v>
      </c>
      <c r="BCG55" s="4">
        <v>0</v>
      </c>
      <c r="BCH55" s="4">
        <v>0</v>
      </c>
      <c r="BCI55" s="4">
        <v>0</v>
      </c>
      <c r="BCJ55" s="4">
        <v>0</v>
      </c>
      <c r="BCK55" s="4">
        <v>0</v>
      </c>
      <c r="BCL55" s="4">
        <v>0</v>
      </c>
      <c r="BCM55" s="4">
        <v>0</v>
      </c>
      <c r="BCN55" s="4">
        <v>0</v>
      </c>
      <c r="BCO55" s="4">
        <v>0</v>
      </c>
      <c r="BCP55" s="4">
        <v>0</v>
      </c>
      <c r="BCQ55" s="4">
        <v>0</v>
      </c>
      <c r="BCR55" s="4">
        <v>3</v>
      </c>
      <c r="BCS55" s="4">
        <v>0</v>
      </c>
      <c r="BCT55" s="4">
        <v>0</v>
      </c>
      <c r="BCU55" s="4">
        <v>0</v>
      </c>
      <c r="BCV55" s="4">
        <v>0</v>
      </c>
      <c r="BCW55" s="4">
        <v>0</v>
      </c>
      <c r="BCX55" s="4">
        <v>0</v>
      </c>
      <c r="BCY55" s="4">
        <v>0</v>
      </c>
      <c r="BCZ55" s="4">
        <v>0</v>
      </c>
      <c r="BDA55" s="4">
        <v>0</v>
      </c>
      <c r="BDB55" s="4">
        <v>0</v>
      </c>
      <c r="BDC55" s="4">
        <v>0</v>
      </c>
      <c r="BDD55" s="4">
        <v>0</v>
      </c>
      <c r="BDE55" s="4">
        <v>2</v>
      </c>
      <c r="BDF55" s="4">
        <v>0</v>
      </c>
      <c r="BDG55" s="4">
        <v>3</v>
      </c>
      <c r="BDH55" s="4">
        <v>0</v>
      </c>
      <c r="BDI55" s="4">
        <v>0</v>
      </c>
      <c r="BDJ55" s="4">
        <v>0</v>
      </c>
      <c r="BDK55" s="4">
        <v>0</v>
      </c>
      <c r="BDL55" s="4">
        <v>0</v>
      </c>
      <c r="BDM55" s="4">
        <v>0</v>
      </c>
      <c r="BDN55" s="4">
        <v>0</v>
      </c>
      <c r="BDO55" s="4">
        <v>0</v>
      </c>
      <c r="BDP55" s="4">
        <v>2</v>
      </c>
      <c r="BDQ55" s="4">
        <v>0</v>
      </c>
      <c r="BDR55" s="4">
        <v>0</v>
      </c>
      <c r="BDS55" s="4">
        <v>0</v>
      </c>
      <c r="BDT55" s="4">
        <v>6</v>
      </c>
      <c r="BDU55" s="4">
        <v>0</v>
      </c>
      <c r="BDV55" s="4">
        <v>0</v>
      </c>
      <c r="BDW55" s="4">
        <v>2</v>
      </c>
      <c r="BDX55" s="4">
        <v>0</v>
      </c>
      <c r="BDY55" s="4">
        <v>0</v>
      </c>
      <c r="BDZ55" s="4">
        <v>0</v>
      </c>
      <c r="BEA55" s="4">
        <v>0</v>
      </c>
      <c r="BEB55" s="4">
        <v>0</v>
      </c>
      <c r="BEC55" s="4">
        <v>0</v>
      </c>
      <c r="BED55" s="4">
        <v>0</v>
      </c>
      <c r="BEE55" s="4">
        <v>0</v>
      </c>
      <c r="BEF55" s="4">
        <v>0</v>
      </c>
      <c r="BEG55" s="4">
        <v>0</v>
      </c>
      <c r="BEH55" s="4">
        <v>0</v>
      </c>
      <c r="BEI55" s="4">
        <v>0</v>
      </c>
      <c r="BEJ55" s="4">
        <v>0</v>
      </c>
      <c r="BEK55" s="4">
        <v>0</v>
      </c>
      <c r="BEL55" s="4">
        <v>0</v>
      </c>
      <c r="BEM55" s="4">
        <v>0</v>
      </c>
      <c r="BEN55" s="4">
        <v>0</v>
      </c>
      <c r="BEO55" s="4">
        <v>0</v>
      </c>
      <c r="BEP55" s="4">
        <v>0</v>
      </c>
      <c r="BEQ55" s="4">
        <v>0</v>
      </c>
      <c r="BER55" s="4">
        <v>0</v>
      </c>
      <c r="BES55" s="4">
        <v>0</v>
      </c>
      <c r="BET55" s="4">
        <v>0</v>
      </c>
      <c r="BEU55" s="4">
        <v>0</v>
      </c>
      <c r="BEV55" s="4">
        <v>0</v>
      </c>
      <c r="BEW55" s="4">
        <v>0</v>
      </c>
      <c r="BEX55" s="4">
        <v>0</v>
      </c>
      <c r="BEY55" s="4">
        <v>0</v>
      </c>
      <c r="BEZ55" s="4">
        <v>0</v>
      </c>
      <c r="BFA55" s="4">
        <v>0</v>
      </c>
      <c r="BFB55" s="4">
        <v>0</v>
      </c>
      <c r="BFC55" s="4">
        <v>0</v>
      </c>
      <c r="BFD55" s="4">
        <v>0</v>
      </c>
      <c r="BFE55" s="4">
        <v>0</v>
      </c>
      <c r="BFF55" s="4">
        <v>0</v>
      </c>
      <c r="BFG55" s="4">
        <v>0</v>
      </c>
      <c r="BFH55" s="4">
        <v>0</v>
      </c>
      <c r="BFI55" s="4">
        <v>0</v>
      </c>
      <c r="BFJ55" s="4">
        <v>0</v>
      </c>
      <c r="BFK55" s="4">
        <v>0</v>
      </c>
      <c r="BFL55" s="4">
        <v>0</v>
      </c>
      <c r="BFM55" s="4">
        <v>0</v>
      </c>
      <c r="BFN55" s="4">
        <v>0</v>
      </c>
      <c r="BFO55" s="4">
        <v>0</v>
      </c>
      <c r="BFP55" s="4">
        <v>0</v>
      </c>
      <c r="BFQ55" s="4">
        <v>0</v>
      </c>
      <c r="BFR55" s="4">
        <v>0</v>
      </c>
      <c r="BFS55" s="4">
        <v>0</v>
      </c>
      <c r="BFT55" s="4">
        <v>0</v>
      </c>
      <c r="BFU55" s="4">
        <v>0</v>
      </c>
      <c r="BFV55" s="4">
        <v>0</v>
      </c>
      <c r="BFW55" s="4">
        <v>0</v>
      </c>
      <c r="BFX55" s="4">
        <v>0</v>
      </c>
      <c r="BFY55" s="4">
        <v>0</v>
      </c>
      <c r="BFZ55" s="4">
        <v>0</v>
      </c>
      <c r="BGA55" s="4">
        <v>0</v>
      </c>
      <c r="BGB55" s="4">
        <v>0</v>
      </c>
      <c r="BGC55" s="4">
        <v>0</v>
      </c>
      <c r="BGD55" s="4">
        <v>0</v>
      </c>
      <c r="BGE55" s="4">
        <v>0</v>
      </c>
      <c r="BGF55" s="4">
        <v>0</v>
      </c>
      <c r="BGG55" s="4">
        <v>0</v>
      </c>
      <c r="BGH55" s="4">
        <v>0</v>
      </c>
      <c r="BGI55" s="4">
        <v>0</v>
      </c>
      <c r="BGJ55" s="4">
        <v>0</v>
      </c>
      <c r="BGK55" s="4">
        <v>0</v>
      </c>
      <c r="BGL55" s="4">
        <v>0</v>
      </c>
      <c r="BGM55" s="4">
        <v>0</v>
      </c>
      <c r="BGN55" s="4">
        <v>0</v>
      </c>
      <c r="BGO55" s="4">
        <v>0</v>
      </c>
      <c r="BGP55" s="4">
        <v>0</v>
      </c>
      <c r="BGQ55" s="4">
        <v>0</v>
      </c>
      <c r="BGR55" s="4">
        <v>0</v>
      </c>
      <c r="BGS55" s="4">
        <v>0</v>
      </c>
      <c r="BGT55" s="4">
        <v>0</v>
      </c>
      <c r="BGU55" s="4">
        <v>0</v>
      </c>
      <c r="BGV55" s="4">
        <v>0</v>
      </c>
      <c r="BGW55" s="4">
        <v>0</v>
      </c>
      <c r="BGX55" s="4">
        <v>0</v>
      </c>
      <c r="BGY55" s="4">
        <v>0</v>
      </c>
      <c r="BGZ55" s="4">
        <v>0</v>
      </c>
      <c r="BHA55" s="4">
        <v>0</v>
      </c>
      <c r="BHB55" s="4">
        <v>0</v>
      </c>
      <c r="BHC55" s="4">
        <v>0</v>
      </c>
      <c r="BHD55" s="4">
        <v>0</v>
      </c>
      <c r="BHE55" s="4">
        <v>0</v>
      </c>
      <c r="BHF55" s="4">
        <v>0</v>
      </c>
      <c r="BHG55" s="4">
        <v>0</v>
      </c>
      <c r="BHH55" s="4">
        <v>0</v>
      </c>
      <c r="BHI55" s="4">
        <v>0</v>
      </c>
      <c r="BHJ55" s="4">
        <v>0</v>
      </c>
      <c r="BHK55" s="4">
        <v>0</v>
      </c>
      <c r="BHL55" s="4">
        <v>0</v>
      </c>
      <c r="BHM55" s="4">
        <v>0</v>
      </c>
      <c r="BHN55" s="4">
        <v>0</v>
      </c>
      <c r="BHO55" s="4">
        <v>0</v>
      </c>
      <c r="BHP55" s="4">
        <v>0</v>
      </c>
      <c r="BHQ55" s="4">
        <v>0</v>
      </c>
      <c r="BHR55" s="4">
        <v>0</v>
      </c>
      <c r="BHS55" s="4">
        <v>0</v>
      </c>
      <c r="BHT55" s="4">
        <v>0</v>
      </c>
      <c r="BHU55" s="4">
        <v>0</v>
      </c>
      <c r="BHV55" s="4">
        <v>0</v>
      </c>
      <c r="BHW55" s="4">
        <v>0</v>
      </c>
      <c r="BHX55" s="4">
        <v>0</v>
      </c>
      <c r="BHY55" s="4">
        <v>0</v>
      </c>
      <c r="BHZ55" s="4">
        <v>0</v>
      </c>
      <c r="BIA55" s="4">
        <v>0</v>
      </c>
      <c r="BIB55" s="4">
        <v>0</v>
      </c>
      <c r="BIC55" s="4">
        <v>0</v>
      </c>
      <c r="BID55" s="4">
        <v>0</v>
      </c>
      <c r="BIE55" s="4">
        <v>0</v>
      </c>
      <c r="BIF55" s="4">
        <v>0</v>
      </c>
      <c r="BIG55" s="4">
        <v>0</v>
      </c>
      <c r="BIH55" s="4">
        <v>0</v>
      </c>
      <c r="BII55" s="4">
        <v>0</v>
      </c>
      <c r="BIJ55" s="4">
        <v>0</v>
      </c>
      <c r="BIK55" s="4">
        <v>0</v>
      </c>
      <c r="BIL55" s="4">
        <v>0</v>
      </c>
      <c r="BIM55" s="4">
        <v>0</v>
      </c>
      <c r="BIN55" s="4">
        <v>0</v>
      </c>
      <c r="BIO55" s="4">
        <v>0</v>
      </c>
      <c r="BIP55" s="4">
        <v>0</v>
      </c>
      <c r="BIQ55" s="4">
        <v>0</v>
      </c>
      <c r="BIR55" s="4">
        <v>0</v>
      </c>
      <c r="BIS55" s="4">
        <v>0</v>
      </c>
      <c r="BIT55" s="4">
        <v>0</v>
      </c>
      <c r="BIU55" s="4">
        <v>0</v>
      </c>
      <c r="BIV55" s="4">
        <v>0</v>
      </c>
      <c r="BIW55" s="4">
        <v>0</v>
      </c>
      <c r="BIX55" s="4">
        <v>0</v>
      </c>
      <c r="BIY55" s="4">
        <v>0</v>
      </c>
      <c r="BIZ55" s="4">
        <v>0</v>
      </c>
      <c r="BJA55" s="4">
        <v>0</v>
      </c>
      <c r="BJB55" s="4">
        <v>0</v>
      </c>
      <c r="BJC55" s="4">
        <v>0</v>
      </c>
      <c r="BJD55" s="4">
        <v>0</v>
      </c>
      <c r="BJE55" s="4">
        <v>0</v>
      </c>
      <c r="BJF55" s="4">
        <v>0</v>
      </c>
      <c r="BJG55" s="4">
        <v>0</v>
      </c>
      <c r="BJH55" s="4">
        <v>0</v>
      </c>
      <c r="BJI55" s="4">
        <v>0</v>
      </c>
      <c r="BJJ55" s="4">
        <v>0</v>
      </c>
      <c r="BJK55" s="4">
        <v>0</v>
      </c>
      <c r="BJL55" s="4">
        <v>0</v>
      </c>
      <c r="BJM55" s="4">
        <v>0</v>
      </c>
      <c r="BJN55" s="4">
        <v>0</v>
      </c>
      <c r="BJO55" s="4">
        <v>0</v>
      </c>
      <c r="BJP55" s="4">
        <v>0</v>
      </c>
      <c r="BJQ55" s="4">
        <v>0</v>
      </c>
      <c r="BJR55" s="4">
        <v>0</v>
      </c>
      <c r="BJS55" s="4">
        <v>0</v>
      </c>
      <c r="BJT55" s="4">
        <v>0</v>
      </c>
      <c r="BJU55" s="4">
        <v>0</v>
      </c>
      <c r="BJV55" s="4">
        <v>0</v>
      </c>
      <c r="BJW55" s="4">
        <v>0</v>
      </c>
      <c r="BJX55" s="4">
        <v>0</v>
      </c>
      <c r="BJY55" s="4">
        <v>0</v>
      </c>
      <c r="BJZ55" s="4">
        <v>0</v>
      </c>
      <c r="BKA55" s="4">
        <v>0</v>
      </c>
      <c r="BKB55" s="4">
        <v>0</v>
      </c>
      <c r="BKC55" s="4">
        <v>0</v>
      </c>
      <c r="BKD55" s="4">
        <v>0</v>
      </c>
      <c r="BKE55" s="4">
        <v>0</v>
      </c>
      <c r="BKF55" s="4">
        <v>0</v>
      </c>
      <c r="BKG55" s="4">
        <v>0</v>
      </c>
      <c r="BKH55" s="4">
        <v>0</v>
      </c>
      <c r="BKI55" s="4">
        <v>0</v>
      </c>
      <c r="BKJ55" s="4">
        <v>0</v>
      </c>
      <c r="BKK55" s="4">
        <v>0</v>
      </c>
      <c r="BKL55" s="4">
        <v>0</v>
      </c>
      <c r="BKM55" s="4">
        <v>0</v>
      </c>
      <c r="BKN55" s="4">
        <v>0</v>
      </c>
      <c r="BKO55" s="4">
        <v>0</v>
      </c>
      <c r="BKP55" s="4">
        <v>0</v>
      </c>
      <c r="BKQ55" s="4">
        <v>0</v>
      </c>
      <c r="BKR55" s="4">
        <v>0</v>
      </c>
      <c r="BKS55" s="4">
        <v>0</v>
      </c>
      <c r="BKT55" s="4">
        <v>0</v>
      </c>
      <c r="BKU55" s="4">
        <v>0</v>
      </c>
      <c r="BKV55" s="4">
        <v>0</v>
      </c>
      <c r="BKW55" s="4">
        <v>0</v>
      </c>
      <c r="BKX55" s="4">
        <v>0</v>
      </c>
      <c r="BKY55" s="4">
        <v>0</v>
      </c>
      <c r="BKZ55" s="4">
        <v>0</v>
      </c>
      <c r="BLA55" s="4">
        <v>0</v>
      </c>
      <c r="BLB55" s="4">
        <v>0</v>
      </c>
      <c r="BLC55" s="4">
        <v>0</v>
      </c>
      <c r="BLD55" s="4">
        <v>0</v>
      </c>
      <c r="BLE55" s="4">
        <v>0</v>
      </c>
      <c r="BLF55" s="4">
        <v>0</v>
      </c>
      <c r="BLG55" s="4">
        <v>0</v>
      </c>
      <c r="BLH55" s="4">
        <v>0</v>
      </c>
      <c r="BLI55" s="4">
        <v>0</v>
      </c>
      <c r="BLJ55" s="4">
        <v>0</v>
      </c>
      <c r="BLK55" s="4">
        <v>0</v>
      </c>
    </row>
    <row r="56" spans="1:1675" x14ac:dyDescent="0.2">
      <c r="A56">
        <v>5</v>
      </c>
      <c r="B56">
        <v>12</v>
      </c>
      <c r="C56">
        <f t="shared" si="16"/>
        <v>80</v>
      </c>
      <c r="D56">
        <f t="shared" si="14"/>
        <v>971</v>
      </c>
      <c r="E56">
        <f t="shared" si="15"/>
        <v>55</v>
      </c>
      <c r="F56">
        <f t="shared" si="17"/>
        <v>6</v>
      </c>
      <c r="G56">
        <f t="shared" si="18"/>
        <v>1</v>
      </c>
      <c r="H56" cm="1">
        <f t="array" ref="H56">_xlfn.IFS(P56=0, 1, P56=7, 2, P56=5, 3)</f>
        <v>2</v>
      </c>
      <c r="I56" cm="1">
        <f t="array" ref="I56">_xlfn.IFS(H56=1, IF(AC56=0, P56, PO56), H56=2, IF(AC56=0, P56, AFN56), H56=3, IF(AC56=0, P56, AVM56))</f>
        <v>7</v>
      </c>
      <c r="J56" cm="1">
        <f t="array" ref="J56">_xlfn.IFS(I56=0, 1, I56=1, 0, I56=2, 7, I56=7, 2, I56=5, 6, I56=6, 5)</f>
        <v>2</v>
      </c>
      <c r="K56" t="str" cm="1">
        <f t="array" ref="K56">_xlfn.IFNA(_xlfn.IFS(P56&lt;&gt;P57, 1, A56&lt;&gt;A57, IF(P57=P56, 1)), "")</f>
        <v/>
      </c>
      <c r="L56" t="str">
        <f t="shared" si="7"/>
        <v/>
      </c>
      <c r="M56" t="s">
        <v>1738</v>
      </c>
      <c r="N56" s="4" t="s">
        <v>1755</v>
      </c>
      <c r="O56" s="4"/>
      <c r="P56" s="4">
        <v>7</v>
      </c>
      <c r="Q56" s="4">
        <v>96</v>
      </c>
      <c r="R56" s="4">
        <v>17</v>
      </c>
      <c r="S56" s="4">
        <v>12</v>
      </c>
      <c r="T56" s="4">
        <v>5</v>
      </c>
      <c r="U56" s="4">
        <v>0</v>
      </c>
      <c r="V56" s="4">
        <v>0</v>
      </c>
      <c r="W56" s="4">
        <v>7</v>
      </c>
      <c r="X56" s="4">
        <v>2</v>
      </c>
      <c r="Y56" s="4">
        <v>4</v>
      </c>
      <c r="Z56" s="4">
        <v>4</v>
      </c>
      <c r="AA56" s="4">
        <v>314</v>
      </c>
      <c r="AB56" s="4">
        <v>350</v>
      </c>
      <c r="AC56" s="4">
        <v>0</v>
      </c>
      <c r="AD56" s="4">
        <v>48</v>
      </c>
      <c r="AE56" s="4">
        <v>6</v>
      </c>
      <c r="AF56" s="4" t="s">
        <v>1671</v>
      </c>
      <c r="AG56" s="4">
        <v>9</v>
      </c>
      <c r="AH56" s="4" t="s">
        <v>1671</v>
      </c>
      <c r="AI56" s="4">
        <v>7</v>
      </c>
      <c r="AJ56" s="4">
        <v>115</v>
      </c>
      <c r="AK56" s="4">
        <v>6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1.42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4</v>
      </c>
      <c r="BD56" s="4">
        <v>2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1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1</v>
      </c>
      <c r="CX56" s="4">
        <v>1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2</v>
      </c>
      <c r="DF56" s="4">
        <v>0</v>
      </c>
      <c r="DG56" s="4">
        <v>0</v>
      </c>
      <c r="DH56" s="4">
        <v>1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2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5</v>
      </c>
      <c r="FH56" s="4">
        <v>0</v>
      </c>
      <c r="FI56" s="4">
        <v>4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3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1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1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2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8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6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1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3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  <c r="KY56" s="4">
        <v>0</v>
      </c>
      <c r="KZ56" s="4">
        <v>0</v>
      </c>
      <c r="LA56" s="4">
        <v>0</v>
      </c>
      <c r="LB56" s="4">
        <v>0</v>
      </c>
      <c r="LC56" s="4">
        <v>0</v>
      </c>
      <c r="LD56" s="4">
        <v>0</v>
      </c>
      <c r="LE56" s="4">
        <v>0</v>
      </c>
      <c r="LF56" s="4">
        <v>0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0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0</v>
      </c>
      <c r="NW56" s="4">
        <v>0</v>
      </c>
      <c r="NX56" s="4">
        <v>0</v>
      </c>
      <c r="NY56" s="4">
        <v>0</v>
      </c>
      <c r="NZ56" s="4">
        <v>0</v>
      </c>
      <c r="OA56" s="4">
        <v>0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0</v>
      </c>
      <c r="ON56" s="4">
        <v>0</v>
      </c>
      <c r="OO56" s="4">
        <v>0</v>
      </c>
      <c r="OP56" s="4">
        <v>0</v>
      </c>
      <c r="OQ56" s="4">
        <v>0</v>
      </c>
      <c r="OR56" s="4">
        <v>0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4">
        <v>0</v>
      </c>
      <c r="PH56" s="4">
        <v>0</v>
      </c>
      <c r="PI56" s="4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7</v>
      </c>
      <c r="PP56" s="4">
        <v>54</v>
      </c>
      <c r="PQ56" s="4">
        <v>15</v>
      </c>
      <c r="PR56" s="4">
        <v>17</v>
      </c>
      <c r="PS56" s="4">
        <v>8</v>
      </c>
      <c r="PT56" s="4">
        <v>0</v>
      </c>
      <c r="PU56" s="4">
        <v>0</v>
      </c>
      <c r="PV56" s="4">
        <v>8</v>
      </c>
      <c r="PW56" s="4">
        <v>2</v>
      </c>
      <c r="PX56" s="4">
        <v>4</v>
      </c>
      <c r="PY56" s="4">
        <v>1</v>
      </c>
      <c r="PZ56" s="4">
        <v>299</v>
      </c>
      <c r="QA56" s="4">
        <v>350</v>
      </c>
      <c r="QB56" s="4">
        <v>0</v>
      </c>
      <c r="QC56" s="4">
        <v>43</v>
      </c>
      <c r="QD56" s="4">
        <v>4</v>
      </c>
      <c r="QE56" s="4" t="s">
        <v>1671</v>
      </c>
      <c r="QF56" s="4">
        <v>8</v>
      </c>
      <c r="QG56" s="4" t="s">
        <v>1678</v>
      </c>
      <c r="QH56" s="4">
        <v>13</v>
      </c>
      <c r="QI56" s="4">
        <v>13</v>
      </c>
      <c r="QJ56" s="4">
        <v>2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0.88</v>
      </c>
      <c r="QT56" s="4">
        <v>0</v>
      </c>
      <c r="QU56" s="4">
        <v>0</v>
      </c>
      <c r="QV56" s="4">
        <v>0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7</v>
      </c>
      <c r="RC56" s="4">
        <v>2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2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1</v>
      </c>
      <c r="SW56" s="4">
        <v>2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4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1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2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4">
        <v>0</v>
      </c>
      <c r="VE56" s="4">
        <v>0</v>
      </c>
      <c r="VF56" s="4">
        <v>0</v>
      </c>
      <c r="VG56" s="4">
        <v>0</v>
      </c>
      <c r="VH56" s="4">
        <v>1</v>
      </c>
      <c r="VI56" s="4">
        <v>0</v>
      </c>
      <c r="VJ56" s="4">
        <v>0</v>
      </c>
      <c r="VK56" s="4">
        <v>0</v>
      </c>
      <c r="VL56" s="4">
        <v>0</v>
      </c>
      <c r="VM56" s="4">
        <v>0</v>
      </c>
      <c r="VN56" s="4">
        <v>0</v>
      </c>
      <c r="VO56" s="4">
        <v>0</v>
      </c>
      <c r="VP56" s="4">
        <v>0</v>
      </c>
      <c r="VQ56" s="4">
        <v>0</v>
      </c>
      <c r="VR56" s="4">
        <v>0</v>
      </c>
      <c r="VS56" s="4">
        <v>5</v>
      </c>
      <c r="VT56" s="4">
        <v>2</v>
      </c>
      <c r="VU56" s="4">
        <v>0</v>
      </c>
      <c r="VV56" s="4">
        <v>0</v>
      </c>
      <c r="VW56" s="4">
        <v>0</v>
      </c>
      <c r="VX56" s="4">
        <v>0</v>
      </c>
      <c r="VY56" s="4">
        <v>0</v>
      </c>
      <c r="VZ56" s="4">
        <v>0</v>
      </c>
      <c r="WA56" s="4">
        <v>0</v>
      </c>
      <c r="WB56" s="4">
        <v>0</v>
      </c>
      <c r="WC56" s="4">
        <v>0</v>
      </c>
      <c r="WD56" s="4">
        <v>0</v>
      </c>
      <c r="WE56" s="4">
        <v>0</v>
      </c>
      <c r="WF56" s="4">
        <v>0</v>
      </c>
      <c r="WG56" s="4">
        <v>0</v>
      </c>
      <c r="WH56" s="4">
        <v>0</v>
      </c>
      <c r="WI56" s="4">
        <v>0</v>
      </c>
      <c r="WJ56" s="4">
        <v>0</v>
      </c>
      <c r="WK56" s="4">
        <v>0</v>
      </c>
      <c r="WL56" s="4">
        <v>0</v>
      </c>
      <c r="WM56" s="4">
        <v>0</v>
      </c>
      <c r="WN56" s="4">
        <v>0</v>
      </c>
      <c r="WO56" s="4">
        <v>1</v>
      </c>
      <c r="WP56" s="4">
        <v>0</v>
      </c>
      <c r="WQ56" s="4">
        <v>0</v>
      </c>
      <c r="WR56" s="4">
        <v>0</v>
      </c>
      <c r="WS56" s="4">
        <v>0</v>
      </c>
      <c r="WT56" s="4">
        <v>2</v>
      </c>
      <c r="WU56" s="4">
        <v>0</v>
      </c>
      <c r="WV56" s="4">
        <v>0</v>
      </c>
      <c r="WW56" s="4">
        <v>0</v>
      </c>
      <c r="WX56" s="4">
        <v>0</v>
      </c>
      <c r="WY56" s="4">
        <v>0</v>
      </c>
      <c r="WZ56" s="4">
        <v>0</v>
      </c>
      <c r="XA56" s="4">
        <v>0</v>
      </c>
      <c r="XB56" s="4">
        <v>0</v>
      </c>
      <c r="XC56" s="4">
        <v>0</v>
      </c>
      <c r="XD56" s="4">
        <v>0</v>
      </c>
      <c r="XE56" s="4">
        <v>0</v>
      </c>
      <c r="XF56" s="4">
        <v>0</v>
      </c>
      <c r="XG56" s="4">
        <v>0</v>
      </c>
      <c r="XH56" s="4">
        <v>0</v>
      </c>
      <c r="XI56" s="4">
        <v>3</v>
      </c>
      <c r="XJ56" s="4">
        <v>0</v>
      </c>
      <c r="XK56" s="4">
        <v>0</v>
      </c>
      <c r="XL56" s="4">
        <v>0</v>
      </c>
      <c r="XM56" s="4">
        <v>0</v>
      </c>
      <c r="XN56" s="4">
        <v>0</v>
      </c>
      <c r="XO56" s="4">
        <v>0</v>
      </c>
      <c r="XP56" s="4">
        <v>0</v>
      </c>
      <c r="XQ56" s="4">
        <v>0</v>
      </c>
      <c r="XR56" s="4">
        <v>1</v>
      </c>
      <c r="XS56" s="4">
        <v>0</v>
      </c>
      <c r="XT56" s="4">
        <v>0</v>
      </c>
      <c r="XU56" s="4">
        <v>0</v>
      </c>
      <c r="XV56" s="4">
        <v>4</v>
      </c>
      <c r="XW56" s="4">
        <v>0</v>
      </c>
      <c r="XX56" s="4">
        <v>0</v>
      </c>
      <c r="XY56" s="4">
        <v>0</v>
      </c>
      <c r="XZ56" s="4">
        <v>0</v>
      </c>
      <c r="YA56" s="4">
        <v>0</v>
      </c>
      <c r="YB56" s="4">
        <v>0</v>
      </c>
      <c r="YC56" s="4">
        <v>0</v>
      </c>
      <c r="YD56" s="4">
        <v>0</v>
      </c>
      <c r="YE56" s="4">
        <v>0</v>
      </c>
      <c r="YF56" s="4">
        <v>0</v>
      </c>
      <c r="YG56" s="4">
        <v>0</v>
      </c>
      <c r="YH56" s="4">
        <v>1</v>
      </c>
      <c r="YI56" s="4">
        <v>0</v>
      </c>
      <c r="YJ56" s="4">
        <v>0</v>
      </c>
      <c r="YK56" s="4">
        <v>0</v>
      </c>
      <c r="YL56" s="4">
        <v>0</v>
      </c>
      <c r="YM56" s="4">
        <v>0</v>
      </c>
      <c r="YN56" s="4">
        <v>0</v>
      </c>
      <c r="YO56" s="4">
        <v>0</v>
      </c>
      <c r="YP56" s="4">
        <v>0</v>
      </c>
      <c r="YQ56" s="4">
        <v>0</v>
      </c>
      <c r="YR56" s="4">
        <v>0</v>
      </c>
      <c r="YS56" s="4">
        <v>0</v>
      </c>
      <c r="YT56" s="4">
        <v>0</v>
      </c>
      <c r="YU56" s="4">
        <v>0</v>
      </c>
      <c r="YV56" s="4">
        <v>0</v>
      </c>
      <c r="YW56" s="4">
        <v>0</v>
      </c>
      <c r="YX56" s="4">
        <v>0</v>
      </c>
      <c r="YY56" s="4">
        <v>0</v>
      </c>
      <c r="YZ56" s="4">
        <v>0</v>
      </c>
      <c r="ZA56" s="4">
        <v>0</v>
      </c>
      <c r="ZB56" s="4">
        <v>0</v>
      </c>
      <c r="ZC56" s="4">
        <v>0</v>
      </c>
      <c r="ZD56" s="4">
        <v>0</v>
      </c>
      <c r="ZE56" s="4">
        <v>2</v>
      </c>
      <c r="ZF56" s="4">
        <v>0</v>
      </c>
      <c r="ZG56" s="4">
        <v>0</v>
      </c>
      <c r="ZH56" s="4">
        <v>0</v>
      </c>
      <c r="ZI56" s="4">
        <v>0</v>
      </c>
      <c r="ZJ56" s="4">
        <v>0</v>
      </c>
      <c r="ZK56" s="4">
        <v>0</v>
      </c>
      <c r="ZL56" s="4">
        <v>0</v>
      </c>
      <c r="ZM56" s="4">
        <v>0</v>
      </c>
      <c r="ZN56" s="4">
        <v>0</v>
      </c>
      <c r="ZO56" s="4">
        <v>0</v>
      </c>
      <c r="ZP56" s="4">
        <v>0</v>
      </c>
      <c r="ZQ56" s="4">
        <v>0</v>
      </c>
      <c r="ZR56" s="4">
        <v>0</v>
      </c>
      <c r="ZS56" s="4">
        <v>0</v>
      </c>
      <c r="ZT56" s="4">
        <v>0</v>
      </c>
      <c r="ZU56" s="4">
        <v>0</v>
      </c>
      <c r="ZV56" s="4">
        <v>0</v>
      </c>
      <c r="ZW56" s="4">
        <v>0</v>
      </c>
      <c r="ZX56" s="4">
        <v>0</v>
      </c>
      <c r="ZY56" s="4">
        <v>0</v>
      </c>
      <c r="ZZ56" s="4">
        <v>0</v>
      </c>
      <c r="AAA56" s="4">
        <v>0</v>
      </c>
      <c r="AAB56" s="4">
        <v>0</v>
      </c>
      <c r="AAC56" s="4">
        <v>0</v>
      </c>
      <c r="AAD56" s="4">
        <v>0</v>
      </c>
      <c r="AAE56" s="4">
        <v>0</v>
      </c>
      <c r="AAF56" s="4">
        <v>0</v>
      </c>
      <c r="AAG56" s="4">
        <v>0</v>
      </c>
      <c r="AAH56" s="4">
        <v>0</v>
      </c>
      <c r="AAI56" s="4">
        <v>0</v>
      </c>
      <c r="AAJ56" s="4">
        <v>0</v>
      </c>
      <c r="AAK56" s="4">
        <v>0</v>
      </c>
      <c r="AAL56" s="4">
        <v>0</v>
      </c>
      <c r="AAM56" s="4">
        <v>0</v>
      </c>
      <c r="AAN56" s="4">
        <v>0</v>
      </c>
      <c r="AAO56" s="4">
        <v>0</v>
      </c>
      <c r="AAP56" s="4">
        <v>0</v>
      </c>
      <c r="AAQ56" s="4">
        <v>0</v>
      </c>
      <c r="AAR56" s="4">
        <v>0</v>
      </c>
      <c r="AAS56" s="4">
        <v>0</v>
      </c>
      <c r="AAT56" s="4">
        <v>0</v>
      </c>
      <c r="AAU56" s="4">
        <v>0</v>
      </c>
      <c r="AAV56" s="4">
        <v>0</v>
      </c>
      <c r="AAW56" s="4">
        <v>0</v>
      </c>
      <c r="AAX56" s="4">
        <v>0</v>
      </c>
      <c r="AAY56" s="4">
        <v>0</v>
      </c>
      <c r="AAZ56" s="4">
        <v>0</v>
      </c>
      <c r="ABA56" s="4">
        <v>0</v>
      </c>
      <c r="ABB56" s="4">
        <v>0</v>
      </c>
      <c r="ABC56" s="4">
        <v>0</v>
      </c>
      <c r="ABD56" s="4">
        <v>0</v>
      </c>
      <c r="ABE56" s="4">
        <v>0</v>
      </c>
      <c r="ABF56" s="4">
        <v>0</v>
      </c>
      <c r="ABG56" s="4">
        <v>0</v>
      </c>
      <c r="ABH56" s="4">
        <v>0</v>
      </c>
      <c r="ABI56" s="4">
        <v>0</v>
      </c>
      <c r="ABJ56" s="4">
        <v>0</v>
      </c>
      <c r="ABK56" s="4">
        <v>0</v>
      </c>
      <c r="ABL56" s="4">
        <v>0</v>
      </c>
      <c r="ABM56" s="4">
        <v>0</v>
      </c>
      <c r="ABN56" s="4">
        <v>0</v>
      </c>
      <c r="ABO56" s="4">
        <v>0</v>
      </c>
      <c r="ABP56" s="4">
        <v>0</v>
      </c>
      <c r="ABQ56" s="4">
        <v>0</v>
      </c>
      <c r="ABR56" s="4">
        <v>0</v>
      </c>
      <c r="ABS56" s="4">
        <v>0</v>
      </c>
      <c r="ABT56" s="4">
        <v>0</v>
      </c>
      <c r="ABU56" s="4">
        <v>0</v>
      </c>
      <c r="ABV56" s="4">
        <v>0</v>
      </c>
      <c r="ABW56" s="4">
        <v>0</v>
      </c>
      <c r="ABX56" s="4">
        <v>0</v>
      </c>
      <c r="ABY56" s="4">
        <v>0</v>
      </c>
      <c r="ABZ56" s="4">
        <v>0</v>
      </c>
      <c r="ACA56" s="4">
        <v>0</v>
      </c>
      <c r="ACB56" s="4">
        <v>0</v>
      </c>
      <c r="ACC56" s="4">
        <v>0</v>
      </c>
      <c r="ACD56" s="4">
        <v>0</v>
      </c>
      <c r="ACE56" s="4">
        <v>0</v>
      </c>
      <c r="ACF56" s="4">
        <v>0</v>
      </c>
      <c r="ACG56" s="4">
        <v>0</v>
      </c>
      <c r="ACH56" s="4">
        <v>0</v>
      </c>
      <c r="ACI56" s="4">
        <v>0</v>
      </c>
      <c r="ACJ56" s="4">
        <v>0</v>
      </c>
      <c r="ACK56" s="4">
        <v>0</v>
      </c>
      <c r="ACL56" s="4">
        <v>0</v>
      </c>
      <c r="ACM56" s="4">
        <v>0</v>
      </c>
      <c r="ACN56" s="4">
        <v>0</v>
      </c>
      <c r="ACO56" s="4">
        <v>0</v>
      </c>
      <c r="ACP56" s="4">
        <v>0</v>
      </c>
      <c r="ACQ56" s="4">
        <v>0</v>
      </c>
      <c r="ACR56" s="4">
        <v>0</v>
      </c>
      <c r="ACS56" s="4">
        <v>0</v>
      </c>
      <c r="ACT56" s="4">
        <v>0</v>
      </c>
      <c r="ACU56" s="4">
        <v>0</v>
      </c>
      <c r="ACV56" s="4">
        <v>0</v>
      </c>
      <c r="ACW56" s="4">
        <v>0</v>
      </c>
      <c r="ACX56" s="4">
        <v>0</v>
      </c>
      <c r="ACY56" s="4">
        <v>0</v>
      </c>
      <c r="ACZ56" s="4">
        <v>0</v>
      </c>
      <c r="ADA56" s="4">
        <v>0</v>
      </c>
      <c r="ADB56" s="4">
        <v>0</v>
      </c>
      <c r="ADC56" s="4">
        <v>0</v>
      </c>
      <c r="ADD56" s="4">
        <v>0</v>
      </c>
      <c r="ADE56" s="4">
        <v>0</v>
      </c>
      <c r="ADF56" s="4">
        <v>0</v>
      </c>
      <c r="ADG56" s="4">
        <v>0</v>
      </c>
      <c r="ADH56" s="4">
        <v>0</v>
      </c>
      <c r="ADI56" s="4">
        <v>0</v>
      </c>
      <c r="ADJ56" s="4">
        <v>0</v>
      </c>
      <c r="ADK56" s="4">
        <v>0</v>
      </c>
      <c r="ADL56" s="4">
        <v>0</v>
      </c>
      <c r="ADM56" s="4">
        <v>0</v>
      </c>
      <c r="ADN56" s="4">
        <v>0</v>
      </c>
      <c r="ADO56" s="4">
        <v>0</v>
      </c>
      <c r="ADP56" s="4">
        <v>0</v>
      </c>
      <c r="ADQ56" s="4">
        <v>0</v>
      </c>
      <c r="ADR56" s="4">
        <v>0</v>
      </c>
      <c r="ADS56" s="4">
        <v>0</v>
      </c>
      <c r="ADT56" s="4">
        <v>0</v>
      </c>
      <c r="ADU56" s="4">
        <v>0</v>
      </c>
      <c r="ADV56" s="4">
        <v>0</v>
      </c>
      <c r="ADW56" s="4">
        <v>0</v>
      </c>
      <c r="ADX56" s="4">
        <v>0</v>
      </c>
      <c r="ADY56" s="4">
        <v>0</v>
      </c>
      <c r="ADZ56" s="4">
        <v>0</v>
      </c>
      <c r="AEA56" s="4">
        <v>0</v>
      </c>
      <c r="AEB56" s="4">
        <v>0</v>
      </c>
      <c r="AEC56" s="4">
        <v>0</v>
      </c>
      <c r="AED56" s="4">
        <v>0</v>
      </c>
      <c r="AEE56" s="4">
        <v>0</v>
      </c>
      <c r="AEF56" s="4">
        <v>0</v>
      </c>
      <c r="AEG56" s="4">
        <v>0</v>
      </c>
      <c r="AEH56" s="4">
        <v>0</v>
      </c>
      <c r="AEI56" s="4">
        <v>0</v>
      </c>
      <c r="AEJ56" s="4">
        <v>0</v>
      </c>
      <c r="AEK56" s="4">
        <v>0</v>
      </c>
      <c r="AEL56" s="4">
        <v>0</v>
      </c>
      <c r="AEM56" s="4">
        <v>0</v>
      </c>
      <c r="AEN56" s="4">
        <v>0</v>
      </c>
      <c r="AEO56" s="4">
        <v>0</v>
      </c>
      <c r="AEP56" s="4">
        <v>0</v>
      </c>
      <c r="AEQ56" s="4">
        <v>0</v>
      </c>
      <c r="AER56" s="4">
        <v>0</v>
      </c>
      <c r="AES56" s="4">
        <v>0</v>
      </c>
      <c r="AET56" s="4">
        <v>0</v>
      </c>
      <c r="AEU56" s="4">
        <v>0</v>
      </c>
      <c r="AEV56" s="4">
        <v>0</v>
      </c>
      <c r="AEW56" s="4">
        <v>0</v>
      </c>
      <c r="AEX56" s="4">
        <v>0</v>
      </c>
      <c r="AEY56" s="4">
        <v>0</v>
      </c>
      <c r="AEZ56" s="4">
        <v>0</v>
      </c>
      <c r="AFA56" s="4">
        <v>0</v>
      </c>
      <c r="AFB56" s="4">
        <v>0</v>
      </c>
      <c r="AFC56" s="4">
        <v>0</v>
      </c>
      <c r="AFD56" s="4">
        <v>0</v>
      </c>
      <c r="AFE56" s="4">
        <v>0</v>
      </c>
      <c r="AFF56" s="4">
        <v>0</v>
      </c>
      <c r="AFG56" s="4">
        <v>0</v>
      </c>
      <c r="AFH56" s="4">
        <v>0</v>
      </c>
      <c r="AFI56" s="4">
        <v>0</v>
      </c>
      <c r="AFJ56" s="4">
        <v>0</v>
      </c>
      <c r="AFK56" s="4">
        <v>0</v>
      </c>
      <c r="AFL56" s="4">
        <v>0</v>
      </c>
      <c r="AFM56" s="4">
        <v>0</v>
      </c>
      <c r="AFN56" s="4">
        <v>2</v>
      </c>
      <c r="AFO56" s="4">
        <v>63</v>
      </c>
      <c r="AFP56" s="4">
        <v>11</v>
      </c>
      <c r="AFQ56" s="4">
        <v>17</v>
      </c>
      <c r="AFR56" s="4">
        <v>5</v>
      </c>
      <c r="AFS56" s="4">
        <v>1</v>
      </c>
      <c r="AFT56" s="4">
        <v>0</v>
      </c>
      <c r="AFU56" s="4">
        <v>6</v>
      </c>
      <c r="AFV56" s="4">
        <v>4</v>
      </c>
      <c r="AFW56" s="4">
        <v>0</v>
      </c>
      <c r="AFX56" s="4">
        <v>1</v>
      </c>
      <c r="AFY56" s="4">
        <v>296</v>
      </c>
      <c r="AFZ56" s="4">
        <v>350</v>
      </c>
      <c r="AGA56" s="4">
        <v>1</v>
      </c>
      <c r="AGB56" s="4">
        <v>29</v>
      </c>
      <c r="AGC56" s="4">
        <v>2</v>
      </c>
      <c r="AGD56" s="4" t="s">
        <v>1676</v>
      </c>
      <c r="AGE56" s="4">
        <v>7</v>
      </c>
      <c r="AGF56" s="4" t="s">
        <v>1676</v>
      </c>
      <c r="AGG56" s="4">
        <v>9</v>
      </c>
      <c r="AGH56" s="4">
        <v>20</v>
      </c>
      <c r="AGI56" s="4">
        <v>4</v>
      </c>
      <c r="AGJ56" s="4">
        <v>0</v>
      </c>
      <c r="AGK56" s="4">
        <v>0</v>
      </c>
      <c r="AGL56" s="4">
        <v>0</v>
      </c>
      <c r="AGM56" s="4">
        <v>0</v>
      </c>
      <c r="AGN56" s="4">
        <v>0</v>
      </c>
      <c r="AGO56" s="4">
        <v>0</v>
      </c>
      <c r="AGP56" s="4">
        <v>0</v>
      </c>
      <c r="AGQ56" s="4">
        <v>0</v>
      </c>
      <c r="AGR56" s="4">
        <v>0.65</v>
      </c>
      <c r="AGS56" s="4">
        <v>0</v>
      </c>
      <c r="AGT56" s="4">
        <v>0</v>
      </c>
      <c r="AGU56" s="4">
        <v>0</v>
      </c>
      <c r="AGV56" s="4">
        <v>0</v>
      </c>
      <c r="AGW56" s="4">
        <v>0</v>
      </c>
      <c r="AGX56" s="4">
        <v>0</v>
      </c>
      <c r="AGY56" s="4">
        <v>0</v>
      </c>
      <c r="AGZ56" s="4">
        <v>0</v>
      </c>
      <c r="AHA56" s="4">
        <v>5</v>
      </c>
      <c r="AHB56" s="4">
        <v>0</v>
      </c>
      <c r="AHC56" s="4">
        <v>0</v>
      </c>
      <c r="AHD56" s="4">
        <v>0</v>
      </c>
      <c r="AHE56" s="4">
        <v>0</v>
      </c>
      <c r="AHF56" s="4">
        <v>0</v>
      </c>
      <c r="AHG56" s="4">
        <v>0</v>
      </c>
      <c r="AHH56" s="4">
        <v>0</v>
      </c>
      <c r="AHI56" s="4">
        <v>0</v>
      </c>
      <c r="AHJ56" s="4">
        <v>0</v>
      </c>
      <c r="AHK56" s="4">
        <v>0</v>
      </c>
      <c r="AHL56" s="4">
        <v>0</v>
      </c>
      <c r="AHM56" s="4">
        <v>0</v>
      </c>
      <c r="AHN56" s="4">
        <v>0</v>
      </c>
      <c r="AHO56" s="4">
        <v>0</v>
      </c>
      <c r="AHP56" s="4">
        <v>0</v>
      </c>
      <c r="AHQ56" s="4">
        <v>0</v>
      </c>
      <c r="AHR56" s="4">
        <v>0</v>
      </c>
      <c r="AHS56" s="4">
        <v>0</v>
      </c>
      <c r="AHT56" s="4">
        <v>0</v>
      </c>
      <c r="AHU56" s="4">
        <v>0</v>
      </c>
      <c r="AHV56" s="4">
        <v>0</v>
      </c>
      <c r="AHW56" s="4">
        <v>0</v>
      </c>
      <c r="AHX56" s="4">
        <v>0</v>
      </c>
      <c r="AHY56" s="4">
        <v>0</v>
      </c>
      <c r="AHZ56" s="4">
        <v>0</v>
      </c>
      <c r="AIA56" s="4">
        <v>0</v>
      </c>
      <c r="AIB56" s="4">
        <v>0</v>
      </c>
      <c r="AIC56" s="4">
        <v>0</v>
      </c>
      <c r="AID56" s="4">
        <v>0</v>
      </c>
      <c r="AIE56" s="4">
        <v>0</v>
      </c>
      <c r="AIF56" s="4">
        <v>0</v>
      </c>
      <c r="AIG56" s="4">
        <v>0</v>
      </c>
      <c r="AIH56" s="4">
        <v>0</v>
      </c>
      <c r="AII56" s="4">
        <v>0</v>
      </c>
      <c r="AIJ56" s="4">
        <v>0</v>
      </c>
      <c r="AIK56" s="4">
        <v>0</v>
      </c>
      <c r="AIL56" s="4">
        <v>0</v>
      </c>
      <c r="AIM56" s="4">
        <v>0</v>
      </c>
      <c r="AIN56" s="4">
        <v>0</v>
      </c>
      <c r="AIO56" s="4">
        <v>0</v>
      </c>
      <c r="AIP56" s="4">
        <v>0</v>
      </c>
      <c r="AIQ56" s="4">
        <v>0</v>
      </c>
      <c r="AIR56" s="4">
        <v>0</v>
      </c>
      <c r="AIS56" s="4">
        <v>0</v>
      </c>
      <c r="AIT56" s="4">
        <v>0</v>
      </c>
      <c r="AIU56" s="4">
        <v>0</v>
      </c>
      <c r="AIV56" s="4">
        <v>1</v>
      </c>
      <c r="AIW56" s="4">
        <v>0</v>
      </c>
      <c r="AIX56" s="4">
        <v>0</v>
      </c>
      <c r="AIY56" s="4">
        <v>0</v>
      </c>
      <c r="AIZ56" s="4">
        <v>0</v>
      </c>
      <c r="AJA56" s="4">
        <v>0</v>
      </c>
      <c r="AJB56" s="4">
        <v>0</v>
      </c>
      <c r="AJC56" s="4">
        <v>1</v>
      </c>
      <c r="AJD56" s="4">
        <v>0</v>
      </c>
      <c r="AJE56" s="4">
        <v>0</v>
      </c>
      <c r="AJF56" s="4">
        <v>0</v>
      </c>
      <c r="AJG56" s="4">
        <v>0</v>
      </c>
      <c r="AJH56" s="4">
        <v>0</v>
      </c>
      <c r="AJI56" s="4">
        <v>0</v>
      </c>
      <c r="AJJ56" s="4">
        <v>0</v>
      </c>
      <c r="AJK56" s="4">
        <v>0</v>
      </c>
      <c r="AJL56" s="4">
        <v>0</v>
      </c>
      <c r="AJM56" s="4">
        <v>0</v>
      </c>
      <c r="AJN56" s="4">
        <v>1</v>
      </c>
      <c r="AJO56" s="4">
        <v>0</v>
      </c>
      <c r="AJP56" s="4">
        <v>0</v>
      </c>
      <c r="AJQ56" s="4">
        <v>0</v>
      </c>
      <c r="AJR56" s="4">
        <v>0</v>
      </c>
      <c r="AJS56" s="4">
        <v>0</v>
      </c>
      <c r="AJT56" s="4">
        <v>0</v>
      </c>
      <c r="AJU56" s="4">
        <v>0</v>
      </c>
      <c r="AJV56" s="4">
        <v>0</v>
      </c>
      <c r="AJW56" s="4">
        <v>0</v>
      </c>
      <c r="AJX56" s="4">
        <v>0</v>
      </c>
      <c r="AJY56" s="4">
        <v>0</v>
      </c>
      <c r="AJZ56" s="4">
        <v>0</v>
      </c>
      <c r="AKA56" s="4">
        <v>0</v>
      </c>
      <c r="AKB56" s="4">
        <v>0</v>
      </c>
      <c r="AKC56" s="4">
        <v>0</v>
      </c>
      <c r="AKD56" s="4">
        <v>0</v>
      </c>
      <c r="AKE56" s="4">
        <v>0</v>
      </c>
      <c r="AKF56" s="4">
        <v>0</v>
      </c>
      <c r="AKG56" s="4">
        <v>0</v>
      </c>
      <c r="AKH56" s="4">
        <v>0</v>
      </c>
      <c r="AKI56" s="4">
        <v>0</v>
      </c>
      <c r="AKJ56" s="4">
        <v>0</v>
      </c>
      <c r="AKK56" s="4">
        <v>0</v>
      </c>
      <c r="AKL56" s="4">
        <v>0</v>
      </c>
      <c r="AKM56" s="4">
        <v>2</v>
      </c>
      <c r="AKN56" s="4">
        <v>0</v>
      </c>
      <c r="AKO56" s="4">
        <v>0</v>
      </c>
      <c r="AKP56" s="4">
        <v>0</v>
      </c>
      <c r="AKQ56" s="4">
        <v>0</v>
      </c>
      <c r="AKR56" s="4">
        <v>0</v>
      </c>
      <c r="AKS56" s="4">
        <v>4</v>
      </c>
      <c r="AKT56" s="4">
        <v>0</v>
      </c>
      <c r="AKU56" s="4">
        <v>0</v>
      </c>
      <c r="AKV56" s="4">
        <v>0</v>
      </c>
      <c r="AKW56" s="4">
        <v>0</v>
      </c>
      <c r="AKX56" s="4">
        <v>0</v>
      </c>
      <c r="AKY56" s="4">
        <v>0</v>
      </c>
      <c r="AKZ56" s="4">
        <v>1</v>
      </c>
      <c r="ALA56" s="4">
        <v>0</v>
      </c>
      <c r="ALB56" s="4">
        <v>0</v>
      </c>
      <c r="ALC56" s="4">
        <v>0</v>
      </c>
      <c r="ALD56" s="4">
        <v>0</v>
      </c>
      <c r="ALE56" s="4">
        <v>4</v>
      </c>
      <c r="ALF56" s="4">
        <v>0</v>
      </c>
      <c r="ALG56" s="4">
        <v>1</v>
      </c>
      <c r="ALH56" s="4">
        <v>0</v>
      </c>
      <c r="ALI56" s="4">
        <v>0</v>
      </c>
      <c r="ALJ56" s="4">
        <v>0</v>
      </c>
      <c r="ALK56" s="4">
        <v>0</v>
      </c>
      <c r="ALL56" s="4">
        <v>0</v>
      </c>
      <c r="ALM56" s="4">
        <v>0</v>
      </c>
      <c r="ALN56" s="4">
        <v>0</v>
      </c>
      <c r="ALO56" s="4">
        <v>0</v>
      </c>
      <c r="ALP56" s="4">
        <v>0</v>
      </c>
      <c r="ALQ56" s="4">
        <v>0</v>
      </c>
      <c r="ALR56" s="4">
        <v>2</v>
      </c>
      <c r="ALS56" s="4">
        <v>0</v>
      </c>
      <c r="ALT56" s="4">
        <v>0</v>
      </c>
      <c r="ALU56" s="4">
        <v>0</v>
      </c>
      <c r="ALV56" s="4">
        <v>0</v>
      </c>
      <c r="ALW56" s="4">
        <v>0</v>
      </c>
      <c r="ALX56" s="4">
        <v>0</v>
      </c>
      <c r="ALY56" s="4">
        <v>0</v>
      </c>
      <c r="ALZ56" s="4">
        <v>0</v>
      </c>
      <c r="AMA56" s="4">
        <v>0</v>
      </c>
      <c r="AMB56" s="4">
        <v>0</v>
      </c>
      <c r="AMC56" s="4">
        <v>0</v>
      </c>
      <c r="AMD56" s="4">
        <v>0</v>
      </c>
      <c r="AME56" s="4">
        <v>0</v>
      </c>
      <c r="AMF56" s="4">
        <v>0</v>
      </c>
      <c r="AMG56" s="4">
        <v>0</v>
      </c>
      <c r="AMH56" s="4">
        <v>0</v>
      </c>
      <c r="AMI56" s="4">
        <v>0</v>
      </c>
      <c r="AMJ56" s="4">
        <v>0</v>
      </c>
      <c r="AMK56" s="4">
        <v>0</v>
      </c>
      <c r="AML56" s="4">
        <v>0</v>
      </c>
      <c r="AMM56" s="4">
        <v>0</v>
      </c>
      <c r="AMN56" s="4">
        <v>0</v>
      </c>
      <c r="AMO56" s="4">
        <v>0</v>
      </c>
      <c r="AMP56" s="4">
        <v>0</v>
      </c>
      <c r="AMQ56" s="4">
        <v>0</v>
      </c>
      <c r="AMR56" s="4">
        <v>0</v>
      </c>
      <c r="AMS56" s="4">
        <v>0</v>
      </c>
      <c r="AMT56" s="4">
        <v>0</v>
      </c>
      <c r="AMU56" s="4">
        <v>0</v>
      </c>
      <c r="AMV56" s="4">
        <v>0</v>
      </c>
      <c r="AMW56" s="4">
        <v>0</v>
      </c>
      <c r="AMX56" s="4">
        <v>0</v>
      </c>
      <c r="AMY56" s="4">
        <v>0</v>
      </c>
      <c r="AMZ56" s="4">
        <v>0</v>
      </c>
      <c r="ANA56" s="4">
        <v>0</v>
      </c>
      <c r="ANB56" s="4">
        <v>0</v>
      </c>
      <c r="ANC56" s="4">
        <v>0</v>
      </c>
      <c r="AND56" s="4">
        <v>0</v>
      </c>
      <c r="ANE56" s="4">
        <v>0</v>
      </c>
      <c r="ANF56" s="4">
        <v>0</v>
      </c>
      <c r="ANG56" s="4">
        <v>0</v>
      </c>
      <c r="ANH56" s="4">
        <v>0</v>
      </c>
      <c r="ANI56" s="4">
        <v>0</v>
      </c>
      <c r="ANJ56" s="4">
        <v>0</v>
      </c>
      <c r="ANK56" s="4">
        <v>0</v>
      </c>
      <c r="ANL56" s="4">
        <v>0</v>
      </c>
      <c r="ANM56" s="4">
        <v>0</v>
      </c>
      <c r="ANN56" s="4">
        <v>0</v>
      </c>
      <c r="ANO56" s="4">
        <v>0</v>
      </c>
      <c r="ANP56" s="4">
        <v>0</v>
      </c>
      <c r="ANQ56" s="4">
        <v>0</v>
      </c>
      <c r="ANR56" s="4">
        <v>0</v>
      </c>
      <c r="ANS56" s="4">
        <v>0</v>
      </c>
      <c r="ANT56" s="4">
        <v>0</v>
      </c>
      <c r="ANU56" s="4">
        <v>5</v>
      </c>
      <c r="ANV56" s="4">
        <v>0</v>
      </c>
      <c r="ANW56" s="4">
        <v>0</v>
      </c>
      <c r="ANX56" s="4">
        <v>0</v>
      </c>
      <c r="ANY56" s="4">
        <v>0</v>
      </c>
      <c r="ANZ56" s="4">
        <v>0</v>
      </c>
      <c r="AOA56" s="4">
        <v>0</v>
      </c>
      <c r="AOB56" s="4">
        <v>0</v>
      </c>
      <c r="AOC56" s="4">
        <v>0</v>
      </c>
      <c r="AOD56" s="4">
        <v>0</v>
      </c>
      <c r="AOE56" s="4">
        <v>0</v>
      </c>
      <c r="AOF56" s="4">
        <v>0</v>
      </c>
      <c r="AOG56" s="4">
        <v>1</v>
      </c>
      <c r="AOH56" s="4">
        <v>0</v>
      </c>
      <c r="AOI56" s="4">
        <v>0</v>
      </c>
      <c r="AOJ56" s="4">
        <v>0</v>
      </c>
      <c r="AOK56" s="4">
        <v>0</v>
      </c>
      <c r="AOL56" s="4">
        <v>0</v>
      </c>
      <c r="AOM56" s="4">
        <v>0</v>
      </c>
      <c r="AON56" s="4">
        <v>0</v>
      </c>
      <c r="AOO56" s="4">
        <v>0</v>
      </c>
      <c r="AOP56" s="4">
        <v>0</v>
      </c>
      <c r="AOQ56" s="4">
        <v>0</v>
      </c>
      <c r="AOR56" s="4">
        <v>0</v>
      </c>
      <c r="AOS56" s="4">
        <v>1</v>
      </c>
      <c r="AOT56" s="4">
        <v>0</v>
      </c>
      <c r="AOU56" s="4">
        <v>0</v>
      </c>
      <c r="AOV56" s="4">
        <v>0</v>
      </c>
      <c r="AOW56" s="4">
        <v>0</v>
      </c>
      <c r="AOX56" s="4">
        <v>0</v>
      </c>
      <c r="AOY56" s="4">
        <v>0</v>
      </c>
      <c r="AOZ56" s="4">
        <v>0</v>
      </c>
      <c r="APA56" s="4">
        <v>0</v>
      </c>
      <c r="APB56" s="4">
        <v>0</v>
      </c>
      <c r="APC56" s="4">
        <v>0</v>
      </c>
      <c r="APD56" s="4">
        <v>0</v>
      </c>
      <c r="APE56" s="4">
        <v>0</v>
      </c>
      <c r="APF56" s="4">
        <v>0</v>
      </c>
      <c r="APG56" s="4">
        <v>0</v>
      </c>
      <c r="APH56" s="4">
        <v>0</v>
      </c>
      <c r="API56" s="4">
        <v>0</v>
      </c>
      <c r="APJ56" s="4">
        <v>0</v>
      </c>
      <c r="APK56" s="4">
        <v>0</v>
      </c>
      <c r="APL56" s="4">
        <v>0</v>
      </c>
      <c r="APM56" s="4">
        <v>0</v>
      </c>
      <c r="APN56" s="4">
        <v>0</v>
      </c>
      <c r="APO56" s="4">
        <v>0</v>
      </c>
      <c r="APP56" s="4">
        <v>0</v>
      </c>
      <c r="APQ56" s="4">
        <v>0</v>
      </c>
      <c r="APR56" s="4">
        <v>0</v>
      </c>
      <c r="APS56" s="4">
        <v>0</v>
      </c>
      <c r="APT56" s="4">
        <v>0</v>
      </c>
      <c r="APU56" s="4">
        <v>0</v>
      </c>
      <c r="APV56" s="4">
        <v>0</v>
      </c>
      <c r="APW56" s="4">
        <v>0</v>
      </c>
      <c r="APX56" s="4">
        <v>0</v>
      </c>
      <c r="APY56" s="4">
        <v>0</v>
      </c>
      <c r="APZ56" s="4">
        <v>0</v>
      </c>
      <c r="AQA56" s="4">
        <v>0</v>
      </c>
      <c r="AQB56" s="4">
        <v>0</v>
      </c>
      <c r="AQC56" s="4">
        <v>0</v>
      </c>
      <c r="AQD56" s="4">
        <v>0</v>
      </c>
      <c r="AQE56" s="4">
        <v>0</v>
      </c>
      <c r="AQF56" s="4">
        <v>0</v>
      </c>
      <c r="AQG56" s="4">
        <v>0</v>
      </c>
      <c r="AQH56" s="4">
        <v>0</v>
      </c>
      <c r="AQI56" s="4">
        <v>0</v>
      </c>
      <c r="AQJ56" s="4">
        <v>0</v>
      </c>
      <c r="AQK56" s="4">
        <v>0</v>
      </c>
      <c r="AQL56" s="4">
        <v>0</v>
      </c>
      <c r="AQM56" s="4">
        <v>0</v>
      </c>
      <c r="AQN56" s="4">
        <v>0</v>
      </c>
      <c r="AQO56" s="4">
        <v>0</v>
      </c>
      <c r="AQP56" s="4">
        <v>0</v>
      </c>
      <c r="AQQ56" s="4">
        <v>0</v>
      </c>
      <c r="AQR56" s="4">
        <v>0</v>
      </c>
      <c r="AQS56" s="4">
        <v>0</v>
      </c>
      <c r="AQT56" s="4">
        <v>0</v>
      </c>
      <c r="AQU56" s="4">
        <v>0</v>
      </c>
      <c r="AQV56" s="4">
        <v>0</v>
      </c>
      <c r="AQW56" s="4">
        <v>0</v>
      </c>
      <c r="AQX56" s="4">
        <v>0</v>
      </c>
      <c r="AQY56" s="4">
        <v>0</v>
      </c>
      <c r="AQZ56" s="4">
        <v>0</v>
      </c>
      <c r="ARA56" s="4">
        <v>0</v>
      </c>
      <c r="ARB56" s="4">
        <v>0</v>
      </c>
      <c r="ARC56" s="4">
        <v>0</v>
      </c>
      <c r="ARD56" s="4">
        <v>0</v>
      </c>
      <c r="ARE56" s="4">
        <v>0</v>
      </c>
      <c r="ARF56" s="4">
        <v>0</v>
      </c>
      <c r="ARG56" s="4">
        <v>0</v>
      </c>
      <c r="ARH56" s="4">
        <v>0</v>
      </c>
      <c r="ARI56" s="4">
        <v>0</v>
      </c>
      <c r="ARJ56" s="4">
        <v>0</v>
      </c>
      <c r="ARK56" s="4">
        <v>0</v>
      </c>
      <c r="ARL56" s="4">
        <v>0</v>
      </c>
      <c r="ARM56" s="4">
        <v>0</v>
      </c>
      <c r="ARN56" s="4">
        <v>0</v>
      </c>
      <c r="ARO56" s="4">
        <v>0</v>
      </c>
      <c r="ARP56" s="4">
        <v>0</v>
      </c>
      <c r="ARQ56" s="4">
        <v>0</v>
      </c>
      <c r="ARR56" s="4">
        <v>0</v>
      </c>
      <c r="ARS56" s="4">
        <v>0</v>
      </c>
      <c r="ART56" s="4">
        <v>0</v>
      </c>
      <c r="ARU56" s="4">
        <v>0</v>
      </c>
      <c r="ARV56" s="4">
        <v>0</v>
      </c>
      <c r="ARW56" s="4">
        <v>0</v>
      </c>
      <c r="ARX56" s="4">
        <v>0</v>
      </c>
      <c r="ARY56" s="4">
        <v>0</v>
      </c>
      <c r="ARZ56" s="4">
        <v>0</v>
      </c>
      <c r="ASA56" s="4">
        <v>0</v>
      </c>
      <c r="ASB56" s="4">
        <v>0</v>
      </c>
      <c r="ASC56" s="4">
        <v>0</v>
      </c>
      <c r="ASD56" s="4">
        <v>0</v>
      </c>
      <c r="ASE56" s="4">
        <v>0</v>
      </c>
      <c r="ASF56" s="4">
        <v>0</v>
      </c>
      <c r="ASG56" s="4">
        <v>0</v>
      </c>
      <c r="ASH56" s="4">
        <v>0</v>
      </c>
      <c r="ASI56" s="4">
        <v>0</v>
      </c>
      <c r="ASJ56" s="4">
        <v>0</v>
      </c>
      <c r="ASK56" s="4">
        <v>0</v>
      </c>
      <c r="ASL56" s="4">
        <v>0</v>
      </c>
      <c r="ASM56" s="4">
        <v>0</v>
      </c>
      <c r="ASN56" s="4">
        <v>0</v>
      </c>
      <c r="ASO56" s="4">
        <v>0</v>
      </c>
      <c r="ASP56" s="4">
        <v>0</v>
      </c>
      <c r="ASQ56" s="4">
        <v>0</v>
      </c>
      <c r="ASR56" s="4">
        <v>0</v>
      </c>
      <c r="ASS56" s="4">
        <v>0</v>
      </c>
      <c r="AST56" s="4">
        <v>0</v>
      </c>
      <c r="ASU56" s="4">
        <v>0</v>
      </c>
      <c r="ASV56" s="4">
        <v>0</v>
      </c>
      <c r="ASW56" s="4">
        <v>0</v>
      </c>
      <c r="ASX56" s="4">
        <v>0</v>
      </c>
      <c r="ASY56" s="4">
        <v>0</v>
      </c>
      <c r="ASZ56" s="4">
        <v>0</v>
      </c>
      <c r="ATA56" s="4">
        <v>0</v>
      </c>
      <c r="ATB56" s="4">
        <v>0</v>
      </c>
      <c r="ATC56" s="4">
        <v>0</v>
      </c>
      <c r="ATD56" s="4">
        <v>0</v>
      </c>
      <c r="ATE56" s="4">
        <v>0</v>
      </c>
      <c r="ATF56" s="4">
        <v>0</v>
      </c>
      <c r="ATG56" s="4">
        <v>0</v>
      </c>
      <c r="ATH56" s="4">
        <v>0</v>
      </c>
      <c r="ATI56" s="4">
        <v>0</v>
      </c>
      <c r="ATJ56" s="4">
        <v>0</v>
      </c>
      <c r="ATK56" s="4">
        <v>0</v>
      </c>
      <c r="ATL56" s="4">
        <v>0</v>
      </c>
      <c r="ATM56" s="4">
        <v>0</v>
      </c>
      <c r="ATN56" s="4">
        <v>0</v>
      </c>
      <c r="ATO56" s="4">
        <v>0</v>
      </c>
      <c r="ATP56" s="4">
        <v>0</v>
      </c>
      <c r="ATQ56" s="4">
        <v>0</v>
      </c>
      <c r="ATR56" s="4">
        <v>0</v>
      </c>
      <c r="ATS56" s="4">
        <v>0</v>
      </c>
      <c r="ATT56" s="4">
        <v>0</v>
      </c>
      <c r="ATU56" s="4">
        <v>0</v>
      </c>
      <c r="ATV56" s="4">
        <v>0</v>
      </c>
      <c r="ATW56" s="4">
        <v>0</v>
      </c>
      <c r="ATX56" s="4">
        <v>0</v>
      </c>
      <c r="ATY56" s="4">
        <v>0</v>
      </c>
      <c r="ATZ56" s="4">
        <v>0</v>
      </c>
      <c r="AUA56" s="4">
        <v>0</v>
      </c>
      <c r="AUB56" s="4">
        <v>0</v>
      </c>
      <c r="AUC56" s="4">
        <v>0</v>
      </c>
      <c r="AUD56" s="4">
        <v>0</v>
      </c>
      <c r="AUE56" s="4">
        <v>0</v>
      </c>
      <c r="AUF56" s="4">
        <v>0</v>
      </c>
      <c r="AUG56" s="4">
        <v>0</v>
      </c>
      <c r="AUH56" s="4">
        <v>0</v>
      </c>
      <c r="AUI56" s="4">
        <v>0</v>
      </c>
      <c r="AUJ56" s="4">
        <v>0</v>
      </c>
      <c r="AUK56" s="4">
        <v>0</v>
      </c>
      <c r="AUL56" s="4">
        <v>0</v>
      </c>
      <c r="AUM56" s="4">
        <v>0</v>
      </c>
      <c r="AUN56" s="4">
        <v>0</v>
      </c>
      <c r="AUO56" s="4">
        <v>0</v>
      </c>
      <c r="AUP56" s="4">
        <v>0</v>
      </c>
      <c r="AUQ56" s="4">
        <v>0</v>
      </c>
      <c r="AUR56" s="4">
        <v>0</v>
      </c>
      <c r="AUS56" s="4">
        <v>0</v>
      </c>
      <c r="AUT56" s="4">
        <v>0</v>
      </c>
      <c r="AUU56" s="4">
        <v>0</v>
      </c>
      <c r="AUV56" s="4">
        <v>0</v>
      </c>
      <c r="AUW56" s="4">
        <v>0</v>
      </c>
      <c r="AUX56" s="4">
        <v>0</v>
      </c>
      <c r="AUY56" s="4">
        <v>0</v>
      </c>
      <c r="AUZ56" s="4">
        <v>0</v>
      </c>
      <c r="AVA56" s="4">
        <v>0</v>
      </c>
      <c r="AVB56" s="4">
        <v>0</v>
      </c>
      <c r="AVC56" s="4">
        <v>0</v>
      </c>
      <c r="AVD56" s="4">
        <v>0</v>
      </c>
      <c r="AVE56" s="4">
        <v>0</v>
      </c>
      <c r="AVF56" s="4">
        <v>0</v>
      </c>
      <c r="AVG56" s="4">
        <v>0</v>
      </c>
      <c r="AVH56" s="4">
        <v>0</v>
      </c>
      <c r="AVI56" s="4">
        <v>0</v>
      </c>
      <c r="AVJ56" s="4">
        <v>0</v>
      </c>
      <c r="AVK56" s="4">
        <v>0</v>
      </c>
      <c r="AVL56" s="4">
        <v>0</v>
      </c>
      <c r="AVM56" s="4">
        <v>2</v>
      </c>
      <c r="AVN56" s="4">
        <v>41</v>
      </c>
      <c r="AVO56" s="4">
        <v>18</v>
      </c>
      <c r="AVP56" s="4">
        <v>16</v>
      </c>
      <c r="AVQ56" s="4">
        <v>4</v>
      </c>
      <c r="AVR56" s="4">
        <v>0</v>
      </c>
      <c r="AVS56" s="4">
        <v>0</v>
      </c>
      <c r="AVT56" s="4">
        <v>12</v>
      </c>
      <c r="AVU56" s="4">
        <v>0</v>
      </c>
      <c r="AVV56" s="4">
        <v>4</v>
      </c>
      <c r="AVW56" s="4">
        <v>2</v>
      </c>
      <c r="AVX56" s="4">
        <v>302</v>
      </c>
      <c r="AVY56" s="4">
        <v>350</v>
      </c>
      <c r="AVZ56" s="4">
        <v>1</v>
      </c>
      <c r="AWA56" s="4">
        <v>48</v>
      </c>
      <c r="AWB56" s="4">
        <v>4</v>
      </c>
      <c r="AWC56" s="4" t="s">
        <v>1680</v>
      </c>
      <c r="AWD56" s="4">
        <v>13</v>
      </c>
      <c r="AWE56" s="4" t="s">
        <v>1676</v>
      </c>
      <c r="AWF56" s="4">
        <v>8</v>
      </c>
      <c r="AWG56" s="4">
        <v>13</v>
      </c>
      <c r="AWH56" s="4">
        <v>5</v>
      </c>
      <c r="AWI56" s="4">
        <v>0</v>
      </c>
      <c r="AWJ56" s="4">
        <v>0</v>
      </c>
      <c r="AWK56" s="4">
        <v>0</v>
      </c>
      <c r="AWL56" s="4">
        <v>0</v>
      </c>
      <c r="AWM56" s="4">
        <v>0</v>
      </c>
      <c r="AWN56" s="4">
        <v>0</v>
      </c>
      <c r="AWO56" s="4">
        <v>0</v>
      </c>
      <c r="AWP56" s="4">
        <v>0</v>
      </c>
      <c r="AWQ56" s="4">
        <v>1.1200000000000001</v>
      </c>
      <c r="AWR56" s="4">
        <v>0</v>
      </c>
      <c r="AWS56" s="4">
        <v>0</v>
      </c>
      <c r="AWT56" s="4">
        <v>0</v>
      </c>
      <c r="AWU56" s="4">
        <v>0</v>
      </c>
      <c r="AWV56" s="4">
        <v>0</v>
      </c>
      <c r="AWW56" s="4">
        <v>0</v>
      </c>
      <c r="AWX56" s="4">
        <v>0</v>
      </c>
      <c r="AWY56" s="4">
        <v>0</v>
      </c>
      <c r="AWZ56" s="4">
        <v>3</v>
      </c>
      <c r="AXA56" s="4">
        <v>3</v>
      </c>
      <c r="AXB56" s="4">
        <v>0</v>
      </c>
      <c r="AXC56" s="4">
        <v>0</v>
      </c>
      <c r="AXD56" s="4">
        <v>0</v>
      </c>
      <c r="AXE56" s="4">
        <v>0</v>
      </c>
      <c r="AXF56" s="4">
        <v>0</v>
      </c>
      <c r="AXG56" s="4">
        <v>0</v>
      </c>
      <c r="AXH56" s="4">
        <v>0</v>
      </c>
      <c r="AXI56" s="4">
        <v>0</v>
      </c>
      <c r="AXJ56" s="4">
        <v>0</v>
      </c>
      <c r="AXK56" s="4">
        <v>0</v>
      </c>
      <c r="AXL56" s="4">
        <v>0</v>
      </c>
      <c r="AXM56" s="4">
        <v>0</v>
      </c>
      <c r="AXN56" s="4">
        <v>0</v>
      </c>
      <c r="AXO56" s="4">
        <v>0</v>
      </c>
      <c r="AXP56" s="4">
        <v>0</v>
      </c>
      <c r="AXQ56" s="4">
        <v>0</v>
      </c>
      <c r="AXR56" s="4">
        <v>0</v>
      </c>
      <c r="AXS56" s="4">
        <v>0</v>
      </c>
      <c r="AXT56" s="4">
        <v>0</v>
      </c>
      <c r="AXU56" s="4">
        <v>1</v>
      </c>
      <c r="AXV56" s="4">
        <v>0</v>
      </c>
      <c r="AXW56" s="4">
        <v>0</v>
      </c>
      <c r="AXX56" s="4">
        <v>0</v>
      </c>
      <c r="AXY56" s="4">
        <v>0</v>
      </c>
      <c r="AXZ56" s="4">
        <v>0</v>
      </c>
      <c r="AYA56" s="4">
        <v>0</v>
      </c>
      <c r="AYB56" s="4">
        <v>0</v>
      </c>
      <c r="AYC56" s="4">
        <v>0</v>
      </c>
      <c r="AYD56" s="4">
        <v>0</v>
      </c>
      <c r="AYE56" s="4">
        <v>0</v>
      </c>
      <c r="AYF56" s="4">
        <v>0</v>
      </c>
      <c r="AYG56" s="4">
        <v>0</v>
      </c>
      <c r="AYH56" s="4">
        <v>0</v>
      </c>
      <c r="AYI56" s="4">
        <v>0</v>
      </c>
      <c r="AYJ56" s="4">
        <v>1</v>
      </c>
      <c r="AYK56" s="4">
        <v>0</v>
      </c>
      <c r="AYL56" s="4">
        <v>0</v>
      </c>
      <c r="AYM56" s="4">
        <v>0</v>
      </c>
      <c r="AYN56" s="4">
        <v>0</v>
      </c>
      <c r="AYO56" s="4">
        <v>0</v>
      </c>
      <c r="AYP56" s="4">
        <v>0</v>
      </c>
      <c r="AYQ56" s="4">
        <v>0</v>
      </c>
      <c r="AYR56" s="4">
        <v>0</v>
      </c>
      <c r="AYS56" s="4">
        <v>0</v>
      </c>
      <c r="AYT56" s="4">
        <v>1</v>
      </c>
      <c r="AYU56" s="4">
        <v>3</v>
      </c>
      <c r="AYV56" s="4">
        <v>0</v>
      </c>
      <c r="AYW56" s="4">
        <v>0</v>
      </c>
      <c r="AYX56" s="4">
        <v>0</v>
      </c>
      <c r="AYY56" s="4">
        <v>0</v>
      </c>
      <c r="AYZ56" s="4">
        <v>0</v>
      </c>
      <c r="AZA56" s="4">
        <v>0</v>
      </c>
      <c r="AZB56" s="4">
        <v>3</v>
      </c>
      <c r="AZC56" s="4">
        <v>0</v>
      </c>
      <c r="AZD56" s="4">
        <v>0</v>
      </c>
      <c r="AZE56" s="4">
        <v>2</v>
      </c>
      <c r="AZF56" s="4">
        <v>0</v>
      </c>
      <c r="AZG56" s="4">
        <v>0</v>
      </c>
      <c r="AZH56" s="4">
        <v>0</v>
      </c>
      <c r="AZI56" s="4">
        <v>0</v>
      </c>
      <c r="AZJ56" s="4">
        <v>0</v>
      </c>
      <c r="AZK56" s="4">
        <v>0</v>
      </c>
      <c r="AZL56" s="4">
        <v>0</v>
      </c>
      <c r="AZM56" s="4">
        <v>0</v>
      </c>
      <c r="AZN56" s="4">
        <v>1</v>
      </c>
      <c r="AZO56" s="4">
        <v>0</v>
      </c>
      <c r="AZP56" s="4">
        <v>0</v>
      </c>
      <c r="AZQ56" s="4">
        <v>0</v>
      </c>
      <c r="AZR56" s="4">
        <v>0</v>
      </c>
      <c r="AZS56" s="4">
        <v>0</v>
      </c>
      <c r="AZT56" s="4">
        <v>0</v>
      </c>
      <c r="AZU56" s="4">
        <v>0</v>
      </c>
      <c r="AZV56" s="4">
        <v>0</v>
      </c>
      <c r="AZW56" s="4">
        <v>0</v>
      </c>
      <c r="AZX56" s="4">
        <v>0</v>
      </c>
      <c r="AZY56" s="4">
        <v>0</v>
      </c>
      <c r="AZZ56" s="4">
        <v>0</v>
      </c>
      <c r="BAA56" s="4">
        <v>0</v>
      </c>
      <c r="BAB56" s="4">
        <v>0</v>
      </c>
      <c r="BAC56" s="4">
        <v>0</v>
      </c>
      <c r="BAD56" s="4">
        <v>0</v>
      </c>
      <c r="BAE56" s="4">
        <v>0</v>
      </c>
      <c r="BAF56" s="4">
        <v>0</v>
      </c>
      <c r="BAG56" s="4">
        <v>0</v>
      </c>
      <c r="BAH56" s="4">
        <v>0</v>
      </c>
      <c r="BAI56" s="4">
        <v>0</v>
      </c>
      <c r="BAJ56" s="4">
        <v>0</v>
      </c>
      <c r="BAK56" s="4">
        <v>0</v>
      </c>
      <c r="BAL56" s="4">
        <v>0</v>
      </c>
      <c r="BAM56" s="4">
        <v>0</v>
      </c>
      <c r="BAN56" s="4">
        <v>0</v>
      </c>
      <c r="BAO56" s="4">
        <v>0</v>
      </c>
      <c r="BAP56" s="4">
        <v>0</v>
      </c>
      <c r="BAQ56" s="4">
        <v>0</v>
      </c>
      <c r="BAR56" s="4">
        <v>0</v>
      </c>
      <c r="BAS56" s="4">
        <v>0</v>
      </c>
      <c r="BAT56" s="4">
        <v>0</v>
      </c>
      <c r="BAU56" s="4">
        <v>0</v>
      </c>
      <c r="BAV56" s="4">
        <v>0</v>
      </c>
      <c r="BAW56" s="4">
        <v>2</v>
      </c>
      <c r="BAX56" s="4">
        <v>0</v>
      </c>
      <c r="BAY56" s="4">
        <v>0</v>
      </c>
      <c r="BAZ56" s="4">
        <v>0</v>
      </c>
      <c r="BBA56" s="4">
        <v>0</v>
      </c>
      <c r="BBB56" s="4">
        <v>0</v>
      </c>
      <c r="BBC56" s="4">
        <v>0</v>
      </c>
      <c r="BBD56" s="4">
        <v>4</v>
      </c>
      <c r="BBE56" s="4">
        <v>0</v>
      </c>
      <c r="BBF56" s="4">
        <v>3</v>
      </c>
      <c r="BBG56" s="4">
        <v>0</v>
      </c>
      <c r="BBH56" s="4">
        <v>0</v>
      </c>
      <c r="BBI56" s="4">
        <v>0</v>
      </c>
      <c r="BBJ56" s="4">
        <v>0</v>
      </c>
      <c r="BBK56" s="4">
        <v>0</v>
      </c>
      <c r="BBL56" s="4">
        <v>0</v>
      </c>
      <c r="BBM56" s="4">
        <v>0</v>
      </c>
      <c r="BBN56" s="4">
        <v>0</v>
      </c>
      <c r="BBO56" s="4">
        <v>0</v>
      </c>
      <c r="BBP56" s="4">
        <v>0</v>
      </c>
      <c r="BBQ56" s="4">
        <v>8</v>
      </c>
      <c r="BBR56" s="4">
        <v>0</v>
      </c>
      <c r="BBS56" s="4">
        <v>0</v>
      </c>
      <c r="BBT56" s="4">
        <v>0</v>
      </c>
      <c r="BBU56" s="4">
        <v>0</v>
      </c>
      <c r="BBV56" s="4">
        <v>0</v>
      </c>
      <c r="BBW56" s="4">
        <v>0</v>
      </c>
      <c r="BBX56" s="4">
        <v>0</v>
      </c>
      <c r="BBY56" s="4">
        <v>0</v>
      </c>
      <c r="BBZ56" s="4">
        <v>1</v>
      </c>
      <c r="BCA56" s="4">
        <v>0</v>
      </c>
      <c r="BCB56" s="4">
        <v>0</v>
      </c>
      <c r="BCC56" s="4">
        <v>0</v>
      </c>
      <c r="BCD56" s="4">
        <v>0</v>
      </c>
      <c r="BCE56" s="4">
        <v>0</v>
      </c>
      <c r="BCF56" s="4">
        <v>0</v>
      </c>
      <c r="BCG56" s="4">
        <v>0</v>
      </c>
      <c r="BCH56" s="4">
        <v>0</v>
      </c>
      <c r="BCI56" s="4">
        <v>0</v>
      </c>
      <c r="BCJ56" s="4">
        <v>0</v>
      </c>
      <c r="BCK56" s="4">
        <v>0</v>
      </c>
      <c r="BCL56" s="4">
        <v>0</v>
      </c>
      <c r="BCM56" s="4">
        <v>0</v>
      </c>
      <c r="BCN56" s="4">
        <v>0</v>
      </c>
      <c r="BCO56" s="4">
        <v>0</v>
      </c>
      <c r="BCP56" s="4">
        <v>0</v>
      </c>
      <c r="BCQ56" s="4">
        <v>0</v>
      </c>
      <c r="BCR56" s="4">
        <v>2</v>
      </c>
      <c r="BCS56" s="4">
        <v>0</v>
      </c>
      <c r="BCT56" s="4">
        <v>0</v>
      </c>
      <c r="BCU56" s="4">
        <v>0</v>
      </c>
      <c r="BCV56" s="4">
        <v>0</v>
      </c>
      <c r="BCW56" s="4">
        <v>0</v>
      </c>
      <c r="BCX56" s="4">
        <v>0</v>
      </c>
      <c r="BCY56" s="4">
        <v>0</v>
      </c>
      <c r="BCZ56" s="4">
        <v>0</v>
      </c>
      <c r="BDA56" s="4">
        <v>0</v>
      </c>
      <c r="BDB56" s="4">
        <v>0</v>
      </c>
      <c r="BDC56" s="4">
        <v>0</v>
      </c>
      <c r="BDD56" s="4">
        <v>0</v>
      </c>
      <c r="BDE56" s="4">
        <v>0</v>
      </c>
      <c r="BDF56" s="4">
        <v>0</v>
      </c>
      <c r="BDG56" s="4">
        <v>1</v>
      </c>
      <c r="BDH56" s="4">
        <v>0</v>
      </c>
      <c r="BDI56" s="4">
        <v>0</v>
      </c>
      <c r="BDJ56" s="4">
        <v>0</v>
      </c>
      <c r="BDK56" s="4">
        <v>0</v>
      </c>
      <c r="BDL56" s="4">
        <v>0</v>
      </c>
      <c r="BDM56" s="4">
        <v>0</v>
      </c>
      <c r="BDN56" s="4">
        <v>0</v>
      </c>
      <c r="BDO56" s="4">
        <v>0</v>
      </c>
      <c r="BDP56" s="4">
        <v>0</v>
      </c>
      <c r="BDQ56" s="4">
        <v>0</v>
      </c>
      <c r="BDR56" s="4">
        <v>0</v>
      </c>
      <c r="BDS56" s="4">
        <v>0</v>
      </c>
      <c r="BDT56" s="4">
        <v>5</v>
      </c>
      <c r="BDU56" s="4">
        <v>0</v>
      </c>
      <c r="BDV56" s="4">
        <v>0</v>
      </c>
      <c r="BDW56" s="4">
        <v>0</v>
      </c>
      <c r="BDX56" s="4">
        <v>0</v>
      </c>
      <c r="BDY56" s="4">
        <v>0</v>
      </c>
      <c r="BDZ56" s="4">
        <v>0</v>
      </c>
      <c r="BEA56" s="4">
        <v>0</v>
      </c>
      <c r="BEB56" s="4">
        <v>0</v>
      </c>
      <c r="BEC56" s="4">
        <v>0</v>
      </c>
      <c r="BED56" s="4">
        <v>0</v>
      </c>
      <c r="BEE56" s="4">
        <v>0</v>
      </c>
      <c r="BEF56" s="4">
        <v>3</v>
      </c>
      <c r="BEG56" s="4">
        <v>0</v>
      </c>
      <c r="BEH56" s="4">
        <v>0</v>
      </c>
      <c r="BEI56" s="4">
        <v>0</v>
      </c>
      <c r="BEJ56" s="4">
        <v>0</v>
      </c>
      <c r="BEK56" s="4">
        <v>0</v>
      </c>
      <c r="BEL56" s="4">
        <v>0</v>
      </c>
      <c r="BEM56" s="4">
        <v>0</v>
      </c>
      <c r="BEN56" s="4">
        <v>0</v>
      </c>
      <c r="BEO56" s="4">
        <v>0</v>
      </c>
      <c r="BEP56" s="4">
        <v>0</v>
      </c>
      <c r="BEQ56" s="4">
        <v>0</v>
      </c>
      <c r="BER56" s="4">
        <v>1</v>
      </c>
      <c r="BES56" s="4">
        <v>0</v>
      </c>
      <c r="BET56" s="4">
        <v>0</v>
      </c>
      <c r="BEU56" s="4">
        <v>0</v>
      </c>
      <c r="BEV56" s="4">
        <v>0</v>
      </c>
      <c r="BEW56" s="4">
        <v>0</v>
      </c>
      <c r="BEX56" s="4">
        <v>0</v>
      </c>
      <c r="BEY56" s="4">
        <v>0</v>
      </c>
      <c r="BEZ56" s="4">
        <v>0</v>
      </c>
      <c r="BFA56" s="4">
        <v>0</v>
      </c>
      <c r="BFB56" s="4">
        <v>0</v>
      </c>
      <c r="BFC56" s="4">
        <v>0</v>
      </c>
      <c r="BFD56" s="4">
        <v>0</v>
      </c>
      <c r="BFE56" s="4">
        <v>0</v>
      </c>
      <c r="BFF56" s="4">
        <v>0</v>
      </c>
      <c r="BFG56" s="4">
        <v>0</v>
      </c>
      <c r="BFH56" s="4">
        <v>0</v>
      </c>
      <c r="BFI56" s="4">
        <v>0</v>
      </c>
      <c r="BFJ56" s="4">
        <v>0</v>
      </c>
      <c r="BFK56" s="4">
        <v>0</v>
      </c>
      <c r="BFL56" s="4">
        <v>0</v>
      </c>
      <c r="BFM56" s="4">
        <v>0</v>
      </c>
      <c r="BFN56" s="4">
        <v>0</v>
      </c>
      <c r="BFO56" s="4">
        <v>0</v>
      </c>
      <c r="BFP56" s="4">
        <v>0</v>
      </c>
      <c r="BFQ56" s="4">
        <v>0</v>
      </c>
      <c r="BFR56" s="4">
        <v>0</v>
      </c>
      <c r="BFS56" s="4">
        <v>0</v>
      </c>
      <c r="BFT56" s="4">
        <v>0</v>
      </c>
      <c r="BFU56" s="4">
        <v>0</v>
      </c>
      <c r="BFV56" s="4">
        <v>0</v>
      </c>
      <c r="BFW56" s="4">
        <v>0</v>
      </c>
      <c r="BFX56" s="4">
        <v>0</v>
      </c>
      <c r="BFY56" s="4">
        <v>0</v>
      </c>
      <c r="BFZ56" s="4">
        <v>0</v>
      </c>
      <c r="BGA56" s="4">
        <v>0</v>
      </c>
      <c r="BGB56" s="4">
        <v>0</v>
      </c>
      <c r="BGC56" s="4">
        <v>0</v>
      </c>
      <c r="BGD56" s="4">
        <v>0</v>
      </c>
      <c r="BGE56" s="4">
        <v>0</v>
      </c>
      <c r="BGF56" s="4">
        <v>0</v>
      </c>
      <c r="BGG56" s="4">
        <v>0</v>
      </c>
      <c r="BGH56" s="4">
        <v>0</v>
      </c>
      <c r="BGI56" s="4">
        <v>0</v>
      </c>
      <c r="BGJ56" s="4">
        <v>0</v>
      </c>
      <c r="BGK56" s="4">
        <v>0</v>
      </c>
      <c r="BGL56" s="4">
        <v>0</v>
      </c>
      <c r="BGM56" s="4">
        <v>0</v>
      </c>
      <c r="BGN56" s="4">
        <v>0</v>
      </c>
      <c r="BGO56" s="4">
        <v>0</v>
      </c>
      <c r="BGP56" s="4">
        <v>0</v>
      </c>
      <c r="BGQ56" s="4">
        <v>0</v>
      </c>
      <c r="BGR56" s="4">
        <v>0</v>
      </c>
      <c r="BGS56" s="4">
        <v>0</v>
      </c>
      <c r="BGT56" s="4">
        <v>0</v>
      </c>
      <c r="BGU56" s="4">
        <v>0</v>
      </c>
      <c r="BGV56" s="4">
        <v>0</v>
      </c>
      <c r="BGW56" s="4">
        <v>0</v>
      </c>
      <c r="BGX56" s="4">
        <v>0</v>
      </c>
      <c r="BGY56" s="4">
        <v>0</v>
      </c>
      <c r="BGZ56" s="4">
        <v>0</v>
      </c>
      <c r="BHA56" s="4">
        <v>0</v>
      </c>
      <c r="BHB56" s="4">
        <v>0</v>
      </c>
      <c r="BHC56" s="4">
        <v>0</v>
      </c>
      <c r="BHD56" s="4">
        <v>0</v>
      </c>
      <c r="BHE56" s="4">
        <v>0</v>
      </c>
      <c r="BHF56" s="4">
        <v>0</v>
      </c>
      <c r="BHG56" s="4">
        <v>0</v>
      </c>
      <c r="BHH56" s="4">
        <v>0</v>
      </c>
      <c r="BHI56" s="4">
        <v>0</v>
      </c>
      <c r="BHJ56" s="4">
        <v>0</v>
      </c>
      <c r="BHK56" s="4">
        <v>0</v>
      </c>
      <c r="BHL56" s="4">
        <v>0</v>
      </c>
      <c r="BHM56" s="4">
        <v>0</v>
      </c>
      <c r="BHN56" s="4">
        <v>0</v>
      </c>
      <c r="BHO56" s="4">
        <v>0</v>
      </c>
      <c r="BHP56" s="4">
        <v>0</v>
      </c>
      <c r="BHQ56" s="4">
        <v>0</v>
      </c>
      <c r="BHR56" s="4">
        <v>0</v>
      </c>
      <c r="BHS56" s="4">
        <v>0</v>
      </c>
      <c r="BHT56" s="4">
        <v>0</v>
      </c>
      <c r="BHU56" s="4">
        <v>0</v>
      </c>
      <c r="BHV56" s="4">
        <v>0</v>
      </c>
      <c r="BHW56" s="4">
        <v>0</v>
      </c>
      <c r="BHX56" s="4">
        <v>0</v>
      </c>
      <c r="BHY56" s="4">
        <v>0</v>
      </c>
      <c r="BHZ56" s="4">
        <v>0</v>
      </c>
      <c r="BIA56" s="4">
        <v>0</v>
      </c>
      <c r="BIB56" s="4">
        <v>0</v>
      </c>
      <c r="BIC56" s="4">
        <v>0</v>
      </c>
      <c r="BID56" s="4">
        <v>0</v>
      </c>
      <c r="BIE56" s="4">
        <v>0</v>
      </c>
      <c r="BIF56" s="4">
        <v>0</v>
      </c>
      <c r="BIG56" s="4">
        <v>0</v>
      </c>
      <c r="BIH56" s="4">
        <v>0</v>
      </c>
      <c r="BII56" s="4">
        <v>0</v>
      </c>
      <c r="BIJ56" s="4">
        <v>0</v>
      </c>
      <c r="BIK56" s="4">
        <v>0</v>
      </c>
      <c r="BIL56" s="4">
        <v>0</v>
      </c>
      <c r="BIM56" s="4">
        <v>0</v>
      </c>
      <c r="BIN56" s="4">
        <v>0</v>
      </c>
      <c r="BIO56" s="4">
        <v>0</v>
      </c>
      <c r="BIP56" s="4">
        <v>0</v>
      </c>
      <c r="BIQ56" s="4">
        <v>0</v>
      </c>
      <c r="BIR56" s="4">
        <v>0</v>
      </c>
      <c r="BIS56" s="4">
        <v>0</v>
      </c>
      <c r="BIT56" s="4">
        <v>0</v>
      </c>
      <c r="BIU56" s="4">
        <v>0</v>
      </c>
      <c r="BIV56" s="4">
        <v>0</v>
      </c>
      <c r="BIW56" s="4">
        <v>0</v>
      </c>
      <c r="BIX56" s="4">
        <v>0</v>
      </c>
      <c r="BIY56" s="4">
        <v>0</v>
      </c>
      <c r="BIZ56" s="4">
        <v>0</v>
      </c>
      <c r="BJA56" s="4">
        <v>0</v>
      </c>
      <c r="BJB56" s="4">
        <v>0</v>
      </c>
      <c r="BJC56" s="4">
        <v>0</v>
      </c>
      <c r="BJD56" s="4">
        <v>0</v>
      </c>
      <c r="BJE56" s="4">
        <v>0</v>
      </c>
      <c r="BJF56" s="4">
        <v>0</v>
      </c>
      <c r="BJG56" s="4">
        <v>0</v>
      </c>
      <c r="BJH56" s="4">
        <v>0</v>
      </c>
      <c r="BJI56" s="4">
        <v>0</v>
      </c>
      <c r="BJJ56" s="4">
        <v>0</v>
      </c>
      <c r="BJK56" s="4">
        <v>0</v>
      </c>
      <c r="BJL56" s="4">
        <v>0</v>
      </c>
      <c r="BJM56" s="4">
        <v>0</v>
      </c>
      <c r="BJN56" s="4">
        <v>0</v>
      </c>
      <c r="BJO56" s="4">
        <v>0</v>
      </c>
      <c r="BJP56" s="4">
        <v>0</v>
      </c>
      <c r="BJQ56" s="4">
        <v>0</v>
      </c>
      <c r="BJR56" s="4">
        <v>0</v>
      </c>
      <c r="BJS56" s="4">
        <v>0</v>
      </c>
      <c r="BJT56" s="4">
        <v>0</v>
      </c>
      <c r="BJU56" s="4">
        <v>0</v>
      </c>
      <c r="BJV56" s="4">
        <v>0</v>
      </c>
      <c r="BJW56" s="4">
        <v>0</v>
      </c>
      <c r="BJX56" s="4">
        <v>0</v>
      </c>
      <c r="BJY56" s="4">
        <v>0</v>
      </c>
      <c r="BJZ56" s="4">
        <v>0</v>
      </c>
      <c r="BKA56" s="4">
        <v>0</v>
      </c>
      <c r="BKB56" s="4">
        <v>0</v>
      </c>
      <c r="BKC56" s="4">
        <v>0</v>
      </c>
      <c r="BKD56" s="4">
        <v>0</v>
      </c>
      <c r="BKE56" s="4">
        <v>0</v>
      </c>
      <c r="BKF56" s="4">
        <v>0</v>
      </c>
      <c r="BKG56" s="4">
        <v>0</v>
      </c>
      <c r="BKH56" s="4">
        <v>0</v>
      </c>
      <c r="BKI56" s="4">
        <v>0</v>
      </c>
      <c r="BKJ56" s="4">
        <v>0</v>
      </c>
      <c r="BKK56" s="4">
        <v>0</v>
      </c>
      <c r="BKL56" s="4">
        <v>0</v>
      </c>
      <c r="BKM56" s="4">
        <v>0</v>
      </c>
      <c r="BKN56" s="4">
        <v>0</v>
      </c>
      <c r="BKO56" s="4">
        <v>0</v>
      </c>
      <c r="BKP56" s="4">
        <v>0</v>
      </c>
      <c r="BKQ56" s="4">
        <v>0</v>
      </c>
      <c r="BKR56" s="4">
        <v>0</v>
      </c>
      <c r="BKS56" s="4">
        <v>0</v>
      </c>
      <c r="BKT56" s="4">
        <v>0</v>
      </c>
      <c r="BKU56" s="4">
        <v>0</v>
      </c>
      <c r="BKV56" s="4">
        <v>0</v>
      </c>
      <c r="BKW56" s="4">
        <v>0</v>
      </c>
      <c r="BKX56" s="4">
        <v>0</v>
      </c>
      <c r="BKY56" s="4">
        <v>0</v>
      </c>
      <c r="BKZ56" s="4">
        <v>0</v>
      </c>
      <c r="BLA56" s="4">
        <v>0</v>
      </c>
      <c r="BLB56" s="4">
        <v>0</v>
      </c>
      <c r="BLC56" s="4">
        <v>0</v>
      </c>
      <c r="BLD56" s="4">
        <v>0</v>
      </c>
      <c r="BLE56" s="4">
        <v>0</v>
      </c>
      <c r="BLF56" s="4">
        <v>0</v>
      </c>
      <c r="BLG56" s="4">
        <v>0</v>
      </c>
      <c r="BLH56" s="4">
        <v>0</v>
      </c>
      <c r="BLI56" s="4">
        <v>0</v>
      </c>
      <c r="BLJ56" s="4">
        <v>0</v>
      </c>
      <c r="BLK56" s="4">
        <v>0</v>
      </c>
    </row>
    <row r="57" spans="1:1675" x14ac:dyDescent="0.2">
      <c r="A57">
        <v>5</v>
      </c>
      <c r="B57">
        <v>13</v>
      </c>
      <c r="C57">
        <f t="shared" si="16"/>
        <v>80</v>
      </c>
      <c r="D57">
        <f t="shared" si="14"/>
        <v>972</v>
      </c>
      <c r="E57">
        <f t="shared" si="15"/>
        <v>56</v>
      </c>
      <c r="F57">
        <f t="shared" si="17"/>
        <v>7</v>
      </c>
      <c r="G57">
        <f t="shared" si="18"/>
        <v>2</v>
      </c>
      <c r="H57" cm="1">
        <f t="array" ref="H57">_xlfn.IFS(P57=0, 1, P57=7, 2, P57=5, 3)</f>
        <v>2</v>
      </c>
      <c r="I57" cm="1">
        <f t="array" ref="I57">_xlfn.IFS(H57=1, IF(AC57=0, P57, PO57), H57=2, IF(AC57=0, P57, AFN57), H57=3, IF(AC57=0, P57, AVM57))</f>
        <v>7</v>
      </c>
      <c r="J57" cm="1">
        <f t="array" ref="J57">_xlfn.IFS(I57=0, 1, I57=1, 0, I57=2, 7, I57=7, 2, I57=5, 6, I57=6, 5)</f>
        <v>2</v>
      </c>
      <c r="K57" t="str" cm="1">
        <f t="array" ref="K57">_xlfn.IFNA(_xlfn.IFS(P57&lt;&gt;P58, 1, A57&lt;&gt;A58, IF(P58=P57, 1)), "")</f>
        <v/>
      </c>
      <c r="L57" t="str">
        <f t="shared" si="7"/>
        <v/>
      </c>
      <c r="M57" t="s">
        <v>1730</v>
      </c>
      <c r="N57" s="4" t="s">
        <v>1756</v>
      </c>
      <c r="O57" s="4"/>
      <c r="P57" s="4">
        <v>7</v>
      </c>
      <c r="Q57" s="4">
        <v>72</v>
      </c>
      <c r="R57" s="4">
        <v>21</v>
      </c>
      <c r="S57" s="4">
        <v>22</v>
      </c>
      <c r="T57" s="4">
        <v>8</v>
      </c>
      <c r="U57" s="4">
        <v>0</v>
      </c>
      <c r="V57" s="4">
        <v>0</v>
      </c>
      <c r="W57" s="4">
        <v>16</v>
      </c>
      <c r="X57" s="4">
        <v>2</v>
      </c>
      <c r="Y57" s="4">
        <v>2</v>
      </c>
      <c r="Z57" s="4">
        <v>1</v>
      </c>
      <c r="AA57" s="4">
        <v>431</v>
      </c>
      <c r="AB57" s="4">
        <v>496</v>
      </c>
      <c r="AC57" s="4">
        <v>0</v>
      </c>
      <c r="AD57" s="4">
        <v>54</v>
      </c>
      <c r="AE57" s="4">
        <v>2</v>
      </c>
      <c r="AF57" s="4" t="s">
        <v>1678</v>
      </c>
      <c r="AG57" s="4">
        <v>11</v>
      </c>
      <c r="AH57" s="4" t="s">
        <v>1671</v>
      </c>
      <c r="AI57" s="4">
        <v>13</v>
      </c>
      <c r="AJ57" s="4">
        <v>13</v>
      </c>
      <c r="AK57" s="4">
        <v>10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0.95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8</v>
      </c>
      <c r="BD57" s="4">
        <v>2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2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2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1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2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3</v>
      </c>
      <c r="FH57" s="4">
        <v>0</v>
      </c>
      <c r="FI57" s="4">
        <v>1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2</v>
      </c>
      <c r="GO57" s="4">
        <v>0</v>
      </c>
      <c r="GP57" s="4">
        <v>1</v>
      </c>
      <c r="GQ57" s="4">
        <v>0</v>
      </c>
      <c r="GR57" s="4">
        <v>0</v>
      </c>
      <c r="GS57" s="4">
        <v>0</v>
      </c>
      <c r="GT57" s="4">
        <v>0</v>
      </c>
      <c r="GU57" s="4">
        <v>1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8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1</v>
      </c>
      <c r="HT57" s="4">
        <v>0</v>
      </c>
      <c r="HU57" s="4">
        <v>0</v>
      </c>
      <c r="HV57" s="4">
        <v>0</v>
      </c>
      <c r="HW57" s="4">
        <v>4</v>
      </c>
      <c r="HX57" s="4">
        <v>0</v>
      </c>
      <c r="HY57" s="4">
        <v>0</v>
      </c>
      <c r="HZ57" s="4">
        <v>1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1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1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0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1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4">
        <v>0</v>
      </c>
      <c r="PH57" s="4">
        <v>0</v>
      </c>
      <c r="PI57" s="4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7</v>
      </c>
      <c r="PP57" s="4">
        <v>78</v>
      </c>
      <c r="PQ57" s="4">
        <v>31</v>
      </c>
      <c r="PR57" s="4">
        <v>15</v>
      </c>
      <c r="PS57" s="4">
        <v>8</v>
      </c>
      <c r="PT57" s="4">
        <v>0</v>
      </c>
      <c r="PU57" s="4">
        <v>0</v>
      </c>
      <c r="PV57" s="4">
        <v>27</v>
      </c>
      <c r="PW57" s="4">
        <v>1</v>
      </c>
      <c r="PX57" s="4">
        <v>3</v>
      </c>
      <c r="PY57" s="4">
        <v>0</v>
      </c>
      <c r="PZ57" s="4">
        <v>451</v>
      </c>
      <c r="QA57" s="4">
        <v>496</v>
      </c>
      <c r="QB57" s="4">
        <v>0</v>
      </c>
      <c r="QC57" s="4">
        <v>69</v>
      </c>
      <c r="QD57" s="4">
        <v>11</v>
      </c>
      <c r="QE57" s="4" t="s">
        <v>1671</v>
      </c>
      <c r="QF57" s="4">
        <v>16</v>
      </c>
      <c r="QG57" s="4" t="s">
        <v>1678</v>
      </c>
      <c r="QH57" s="4">
        <v>8</v>
      </c>
      <c r="QI57" s="4">
        <v>115</v>
      </c>
      <c r="QJ57" s="4">
        <v>10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2.0699999999999998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8</v>
      </c>
      <c r="RC57" s="4">
        <v>6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1</v>
      </c>
      <c r="SW57" s="4">
        <v>2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6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1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2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1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2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4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9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1</v>
      </c>
      <c r="VZ57" s="4">
        <v>2</v>
      </c>
      <c r="WA57" s="4">
        <v>0</v>
      </c>
      <c r="WB57" s="4">
        <v>1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0</v>
      </c>
      <c r="WT57" s="4">
        <v>3</v>
      </c>
      <c r="WU57" s="4">
        <v>0</v>
      </c>
      <c r="WV57" s="4">
        <v>0</v>
      </c>
      <c r="WW57" s="4">
        <v>0</v>
      </c>
      <c r="WX57" s="4">
        <v>0</v>
      </c>
      <c r="WY57" s="4">
        <v>0</v>
      </c>
      <c r="WZ57" s="4">
        <v>0</v>
      </c>
      <c r="XA57" s="4">
        <v>0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4</v>
      </c>
      <c r="XJ57" s="4">
        <v>0</v>
      </c>
      <c r="XK57" s="4">
        <v>0</v>
      </c>
      <c r="XL57" s="4">
        <v>0</v>
      </c>
      <c r="XM57" s="4">
        <v>0</v>
      </c>
      <c r="XN57" s="4">
        <v>0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2</v>
      </c>
      <c r="XW57" s="4">
        <v>0</v>
      </c>
      <c r="XX57" s="4">
        <v>0</v>
      </c>
      <c r="XY57" s="4">
        <v>2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10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0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0</v>
      </c>
      <c r="ZA57" s="4">
        <v>0</v>
      </c>
      <c r="ZB57" s="4">
        <v>0</v>
      </c>
      <c r="ZC57" s="4">
        <v>1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0</v>
      </c>
      <c r="ZK57" s="4">
        <v>0</v>
      </c>
      <c r="ZL57" s="4">
        <v>0</v>
      </c>
      <c r="ZM57" s="4">
        <v>0</v>
      </c>
      <c r="ZN57" s="4">
        <v>0</v>
      </c>
      <c r="ZO57" s="4">
        <v>0</v>
      </c>
      <c r="ZP57" s="4">
        <v>0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0</v>
      </c>
      <c r="AAF57" s="4">
        <v>0</v>
      </c>
      <c r="AAG57" s="4">
        <v>0</v>
      </c>
      <c r="AAH57" s="4">
        <v>0</v>
      </c>
      <c r="AAI57" s="4">
        <v>0</v>
      </c>
      <c r="AAJ57" s="4">
        <v>0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1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0</v>
      </c>
      <c r="ABG57" s="4">
        <v>0</v>
      </c>
      <c r="ABH57" s="4">
        <v>0</v>
      </c>
      <c r="ABI57" s="4">
        <v>0</v>
      </c>
      <c r="ABJ57" s="4">
        <v>0</v>
      </c>
      <c r="ABK57" s="4">
        <v>0</v>
      </c>
      <c r="ABL57" s="4">
        <v>0</v>
      </c>
      <c r="ABM57" s="4">
        <v>0</v>
      </c>
      <c r="ABN57" s="4">
        <v>0</v>
      </c>
      <c r="ABO57" s="4">
        <v>0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0</v>
      </c>
      <c r="ABX57" s="4">
        <v>0</v>
      </c>
      <c r="ABY57" s="4">
        <v>0</v>
      </c>
      <c r="ABZ57" s="4">
        <v>0</v>
      </c>
      <c r="ACA57" s="4">
        <v>0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0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0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0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0</v>
      </c>
      <c r="AEA57" s="4">
        <v>0</v>
      </c>
      <c r="AEB57" s="4">
        <v>0</v>
      </c>
      <c r="AEC57" s="4">
        <v>0</v>
      </c>
      <c r="AED57" s="4">
        <v>0</v>
      </c>
      <c r="AEE57" s="4">
        <v>0</v>
      </c>
      <c r="AEF57" s="4">
        <v>0</v>
      </c>
      <c r="AEG57" s="4">
        <v>0</v>
      </c>
      <c r="AEH57" s="4">
        <v>0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0</v>
      </c>
      <c r="AEP57" s="4">
        <v>0</v>
      </c>
      <c r="AEQ57" s="4">
        <v>0</v>
      </c>
      <c r="AER57" s="4">
        <v>0</v>
      </c>
      <c r="AES57" s="4">
        <v>0</v>
      </c>
      <c r="AET57" s="4">
        <v>0</v>
      </c>
      <c r="AEU57" s="4">
        <v>0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0</v>
      </c>
      <c r="AFI57" s="4">
        <v>0</v>
      </c>
      <c r="AFJ57" s="4">
        <v>0</v>
      </c>
      <c r="AFK57" s="4">
        <v>0</v>
      </c>
      <c r="AFL57" s="4">
        <v>0</v>
      </c>
      <c r="AFM57" s="4">
        <v>0</v>
      </c>
      <c r="AFN57" s="4">
        <v>2</v>
      </c>
      <c r="AFO57" s="4">
        <v>27</v>
      </c>
      <c r="AFP57" s="4">
        <v>20</v>
      </c>
      <c r="AFQ57" s="4">
        <v>26</v>
      </c>
      <c r="AFR57" s="4">
        <v>4</v>
      </c>
      <c r="AFS57" s="4">
        <v>0</v>
      </c>
      <c r="AFT57" s="4">
        <v>0</v>
      </c>
      <c r="AFU57" s="4">
        <v>17</v>
      </c>
      <c r="AFV57" s="4">
        <v>2</v>
      </c>
      <c r="AFW57" s="4">
        <v>1</v>
      </c>
      <c r="AFX57" s="4">
        <v>0</v>
      </c>
      <c r="AFY57" s="4">
        <v>420</v>
      </c>
      <c r="AFZ57" s="4">
        <v>496</v>
      </c>
      <c r="AGA57" s="4">
        <v>1</v>
      </c>
      <c r="AGB57" s="4">
        <v>49</v>
      </c>
      <c r="AGC57" s="4">
        <v>4</v>
      </c>
      <c r="AGD57" s="4" t="s">
        <v>1676</v>
      </c>
      <c r="AGE57" s="4">
        <v>13</v>
      </c>
      <c r="AGF57" s="4" t="s">
        <v>1680</v>
      </c>
      <c r="AGG57" s="4">
        <v>16</v>
      </c>
      <c r="AGH57" s="4">
        <v>13</v>
      </c>
      <c r="AGI57" s="4">
        <v>6</v>
      </c>
      <c r="AGJ57" s="4">
        <v>0</v>
      </c>
      <c r="AGK57" s="4">
        <v>0</v>
      </c>
      <c r="AGL57" s="4">
        <v>0</v>
      </c>
      <c r="AGM57" s="4">
        <v>0</v>
      </c>
      <c r="AGN57" s="4">
        <v>0</v>
      </c>
      <c r="AGO57" s="4">
        <v>0</v>
      </c>
      <c r="AGP57" s="4">
        <v>0</v>
      </c>
      <c r="AGQ57" s="4">
        <v>0</v>
      </c>
      <c r="AGR57" s="4">
        <v>0.77</v>
      </c>
      <c r="AGS57" s="4">
        <v>0</v>
      </c>
      <c r="AGT57" s="4">
        <v>0</v>
      </c>
      <c r="AGU57" s="4">
        <v>0</v>
      </c>
      <c r="AGV57" s="4">
        <v>0</v>
      </c>
      <c r="AGW57" s="4">
        <v>0</v>
      </c>
      <c r="AGX57" s="4">
        <v>0</v>
      </c>
      <c r="AGY57" s="4">
        <v>0</v>
      </c>
      <c r="AGZ57" s="4">
        <v>0</v>
      </c>
      <c r="AHA57" s="4">
        <v>4</v>
      </c>
      <c r="AHB57" s="4">
        <v>2</v>
      </c>
      <c r="AHC57" s="4">
        <v>0</v>
      </c>
      <c r="AHD57" s="4">
        <v>0</v>
      </c>
      <c r="AHE57" s="4">
        <v>0</v>
      </c>
      <c r="AHF57" s="4">
        <v>0</v>
      </c>
      <c r="AHG57" s="4">
        <v>0</v>
      </c>
      <c r="AHH57" s="4">
        <v>0</v>
      </c>
      <c r="AHI57" s="4">
        <v>0</v>
      </c>
      <c r="AHJ57" s="4">
        <v>0</v>
      </c>
      <c r="AHK57" s="4">
        <v>0</v>
      </c>
      <c r="AHL57" s="4">
        <v>0</v>
      </c>
      <c r="AHM57" s="4">
        <v>0</v>
      </c>
      <c r="AHN57" s="4">
        <v>0</v>
      </c>
      <c r="AHO57" s="4">
        <v>0</v>
      </c>
      <c r="AHP57" s="4">
        <v>0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0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2</v>
      </c>
      <c r="AIV57" s="4">
        <v>2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0</v>
      </c>
      <c r="AJC57" s="4">
        <v>4</v>
      </c>
      <c r="AJD57" s="4">
        <v>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0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0</v>
      </c>
      <c r="AJQ57" s="4">
        <v>0</v>
      </c>
      <c r="AJR57" s="4">
        <v>0</v>
      </c>
      <c r="AJS57" s="4">
        <v>0</v>
      </c>
      <c r="AJT57" s="4">
        <v>0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1</v>
      </c>
      <c r="AKT57" s="4">
        <v>1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1</v>
      </c>
      <c r="ALF57" s="4">
        <v>0</v>
      </c>
      <c r="ALG57" s="4">
        <v>4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0</v>
      </c>
      <c r="ALN57" s="4">
        <v>0</v>
      </c>
      <c r="ALO57" s="4">
        <v>0</v>
      </c>
      <c r="ALP57" s="4">
        <v>0</v>
      </c>
      <c r="ALQ57" s="4">
        <v>0</v>
      </c>
      <c r="ALR57" s="4">
        <v>10</v>
      </c>
      <c r="ALS57" s="4">
        <v>1</v>
      </c>
      <c r="ALT57" s="4">
        <v>0</v>
      </c>
      <c r="ALU57" s="4">
        <v>0</v>
      </c>
      <c r="ALV57" s="4">
        <v>0</v>
      </c>
      <c r="ALW57" s="4">
        <v>0</v>
      </c>
      <c r="ALX57" s="4">
        <v>0</v>
      </c>
      <c r="ALY57" s="4">
        <v>0</v>
      </c>
      <c r="ALZ57" s="4">
        <v>0</v>
      </c>
      <c r="AMA57" s="4">
        <v>0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  <c r="AMM57" s="4">
        <v>0</v>
      </c>
      <c r="AMN57" s="4">
        <v>0</v>
      </c>
      <c r="AMO57" s="4">
        <v>0</v>
      </c>
      <c r="AMP57" s="4">
        <v>0</v>
      </c>
      <c r="AMQ57" s="4">
        <v>0</v>
      </c>
      <c r="AMR57" s="4">
        <v>0</v>
      </c>
      <c r="AMS57" s="4">
        <v>1</v>
      </c>
      <c r="AMT57" s="4">
        <v>0</v>
      </c>
      <c r="AMU57" s="4">
        <v>0</v>
      </c>
      <c r="AMV57" s="4">
        <v>0</v>
      </c>
      <c r="AMW57" s="4">
        <v>0</v>
      </c>
      <c r="AMX57" s="4">
        <v>0</v>
      </c>
      <c r="AMY57" s="4">
        <v>0</v>
      </c>
      <c r="AMZ57" s="4">
        <v>0</v>
      </c>
      <c r="ANA57" s="4">
        <v>0</v>
      </c>
      <c r="ANB57" s="4">
        <v>0</v>
      </c>
      <c r="ANC57" s="4">
        <v>0</v>
      </c>
      <c r="AND57" s="4">
        <v>0</v>
      </c>
      <c r="ANE57" s="4">
        <v>0</v>
      </c>
      <c r="ANF57" s="4">
        <v>0</v>
      </c>
      <c r="ANG57" s="4">
        <v>0</v>
      </c>
      <c r="ANH57" s="4">
        <v>0</v>
      </c>
      <c r="ANI57" s="4">
        <v>0</v>
      </c>
      <c r="ANJ57" s="4">
        <v>0</v>
      </c>
      <c r="ANK57" s="4">
        <v>0</v>
      </c>
      <c r="ANL57" s="4">
        <v>0</v>
      </c>
      <c r="ANM57" s="4">
        <v>0</v>
      </c>
      <c r="ANN57" s="4">
        <v>0</v>
      </c>
      <c r="ANO57" s="4">
        <v>0</v>
      </c>
      <c r="ANP57" s="4">
        <v>0</v>
      </c>
      <c r="ANQ57" s="4">
        <v>0</v>
      </c>
      <c r="ANR57" s="4">
        <v>0</v>
      </c>
      <c r="ANS57" s="4">
        <v>0</v>
      </c>
      <c r="ANT57" s="4">
        <v>0</v>
      </c>
      <c r="ANU57" s="4">
        <v>9</v>
      </c>
      <c r="ANV57" s="4">
        <v>0</v>
      </c>
      <c r="ANW57" s="4">
        <v>0</v>
      </c>
      <c r="ANX57" s="4">
        <v>4</v>
      </c>
      <c r="ANY57" s="4">
        <v>0</v>
      </c>
      <c r="ANZ57" s="4">
        <v>0</v>
      </c>
      <c r="AOA57" s="4">
        <v>0</v>
      </c>
      <c r="AOB57" s="4">
        <v>0</v>
      </c>
      <c r="AOC57" s="4">
        <v>0</v>
      </c>
      <c r="AOD57" s="4">
        <v>0</v>
      </c>
      <c r="AOE57" s="4">
        <v>0</v>
      </c>
      <c r="AOF57" s="4">
        <v>0</v>
      </c>
      <c r="AOG57" s="4">
        <v>2</v>
      </c>
      <c r="AOH57" s="4">
        <v>0</v>
      </c>
      <c r="AOI57" s="4">
        <v>0</v>
      </c>
      <c r="AOJ57" s="4">
        <v>0</v>
      </c>
      <c r="AOK57" s="4">
        <v>0</v>
      </c>
      <c r="AOL57" s="4">
        <v>0</v>
      </c>
      <c r="AOM57" s="4">
        <v>0</v>
      </c>
      <c r="AON57" s="4">
        <v>0</v>
      </c>
      <c r="AOO57" s="4">
        <v>0</v>
      </c>
      <c r="AOP57" s="4">
        <v>0</v>
      </c>
      <c r="AOQ57" s="4">
        <v>0</v>
      </c>
      <c r="AOR57" s="4">
        <v>0</v>
      </c>
      <c r="AOS57" s="4">
        <v>0</v>
      </c>
      <c r="AOT57" s="4">
        <v>0</v>
      </c>
      <c r="AOU57" s="4">
        <v>0</v>
      </c>
      <c r="AOV57" s="4">
        <v>0</v>
      </c>
      <c r="AOW57" s="4">
        <v>0</v>
      </c>
      <c r="AOX57" s="4">
        <v>0</v>
      </c>
      <c r="AOY57" s="4">
        <v>0</v>
      </c>
      <c r="AOZ57" s="4">
        <v>0</v>
      </c>
      <c r="APA57" s="4">
        <v>0</v>
      </c>
      <c r="APB57" s="4">
        <v>0</v>
      </c>
      <c r="APC57" s="4">
        <v>0</v>
      </c>
      <c r="APD57" s="4">
        <v>0</v>
      </c>
      <c r="APE57" s="4">
        <v>0</v>
      </c>
      <c r="APF57" s="4">
        <v>0</v>
      </c>
      <c r="APG57" s="4">
        <v>0</v>
      </c>
      <c r="APH57" s="4">
        <v>0</v>
      </c>
      <c r="API57" s="4">
        <v>0</v>
      </c>
      <c r="APJ57" s="4">
        <v>0</v>
      </c>
      <c r="APK57" s="4">
        <v>0</v>
      </c>
      <c r="APL57" s="4">
        <v>0</v>
      </c>
      <c r="APM57" s="4">
        <v>0</v>
      </c>
      <c r="APN57" s="4">
        <v>0</v>
      </c>
      <c r="APO57" s="4">
        <v>0</v>
      </c>
      <c r="APP57" s="4">
        <v>0</v>
      </c>
      <c r="APQ57" s="4">
        <v>0</v>
      </c>
      <c r="APR57" s="4">
        <v>0</v>
      </c>
      <c r="APS57" s="4">
        <v>0</v>
      </c>
      <c r="APT57" s="4">
        <v>0</v>
      </c>
      <c r="APU57" s="4">
        <v>0</v>
      </c>
      <c r="APV57" s="4">
        <v>0</v>
      </c>
      <c r="APW57" s="4">
        <v>0</v>
      </c>
      <c r="APX57" s="4">
        <v>0</v>
      </c>
      <c r="APY57" s="4">
        <v>0</v>
      </c>
      <c r="APZ57" s="4">
        <v>0</v>
      </c>
      <c r="AQA57" s="4">
        <v>0</v>
      </c>
      <c r="AQB57" s="4">
        <v>0</v>
      </c>
      <c r="AQC57" s="4">
        <v>0</v>
      </c>
      <c r="AQD57" s="4">
        <v>0</v>
      </c>
      <c r="AQE57" s="4">
        <v>0</v>
      </c>
      <c r="AQF57" s="4">
        <v>0</v>
      </c>
      <c r="AQG57" s="4">
        <v>0</v>
      </c>
      <c r="AQH57" s="4">
        <v>0</v>
      </c>
      <c r="AQI57" s="4">
        <v>0</v>
      </c>
      <c r="AQJ57" s="4">
        <v>0</v>
      </c>
      <c r="AQK57" s="4">
        <v>0</v>
      </c>
      <c r="AQL57" s="4">
        <v>0</v>
      </c>
      <c r="AQM57" s="4">
        <v>0</v>
      </c>
      <c r="AQN57" s="4">
        <v>0</v>
      </c>
      <c r="AQO57" s="4">
        <v>0</v>
      </c>
      <c r="AQP57" s="4">
        <v>0</v>
      </c>
      <c r="AQQ57" s="4">
        <v>0</v>
      </c>
      <c r="AQR57" s="4">
        <v>0</v>
      </c>
      <c r="AQS57" s="4">
        <v>0</v>
      </c>
      <c r="AQT57" s="4">
        <v>0</v>
      </c>
      <c r="AQU57" s="4">
        <v>0</v>
      </c>
      <c r="AQV57" s="4">
        <v>0</v>
      </c>
      <c r="AQW57" s="4">
        <v>0</v>
      </c>
      <c r="AQX57" s="4">
        <v>0</v>
      </c>
      <c r="AQY57" s="4">
        <v>1</v>
      </c>
      <c r="AQZ57" s="4">
        <v>0</v>
      </c>
      <c r="ARA57" s="4">
        <v>0</v>
      </c>
      <c r="ARB57" s="4">
        <v>0</v>
      </c>
      <c r="ARC57" s="4">
        <v>0</v>
      </c>
      <c r="ARD57" s="4">
        <v>0</v>
      </c>
      <c r="ARE57" s="4">
        <v>0</v>
      </c>
      <c r="ARF57" s="4">
        <v>0</v>
      </c>
      <c r="ARG57" s="4">
        <v>0</v>
      </c>
      <c r="ARH57" s="4">
        <v>0</v>
      </c>
      <c r="ARI57" s="4">
        <v>0</v>
      </c>
      <c r="ARJ57" s="4">
        <v>0</v>
      </c>
      <c r="ARK57" s="4">
        <v>0</v>
      </c>
      <c r="ARL57" s="4">
        <v>0</v>
      </c>
      <c r="ARM57" s="4">
        <v>0</v>
      </c>
      <c r="ARN57" s="4">
        <v>0</v>
      </c>
      <c r="ARO57" s="4">
        <v>0</v>
      </c>
      <c r="ARP57" s="4">
        <v>0</v>
      </c>
      <c r="ARQ57" s="4">
        <v>0</v>
      </c>
      <c r="ARR57" s="4">
        <v>0</v>
      </c>
      <c r="ARS57" s="4">
        <v>0</v>
      </c>
      <c r="ART57" s="4">
        <v>0</v>
      </c>
      <c r="ARU57" s="4">
        <v>0</v>
      </c>
      <c r="ARV57" s="4">
        <v>0</v>
      </c>
      <c r="ARW57" s="4">
        <v>0</v>
      </c>
      <c r="ARX57" s="4">
        <v>0</v>
      </c>
      <c r="ARY57" s="4">
        <v>0</v>
      </c>
      <c r="ARZ57" s="4">
        <v>0</v>
      </c>
      <c r="ASA57" s="4">
        <v>0</v>
      </c>
      <c r="ASB57" s="4">
        <v>0</v>
      </c>
      <c r="ASC57" s="4">
        <v>0</v>
      </c>
      <c r="ASD57" s="4">
        <v>0</v>
      </c>
      <c r="ASE57" s="4">
        <v>0</v>
      </c>
      <c r="ASF57" s="4">
        <v>0</v>
      </c>
      <c r="ASG57" s="4">
        <v>0</v>
      </c>
      <c r="ASH57" s="4">
        <v>0</v>
      </c>
      <c r="ASI57" s="4">
        <v>0</v>
      </c>
      <c r="ASJ57" s="4">
        <v>0</v>
      </c>
      <c r="ASK57" s="4">
        <v>0</v>
      </c>
      <c r="ASL57" s="4">
        <v>0</v>
      </c>
      <c r="ASM57" s="4">
        <v>0</v>
      </c>
      <c r="ASN57" s="4">
        <v>0</v>
      </c>
      <c r="ASO57" s="4">
        <v>0</v>
      </c>
      <c r="ASP57" s="4">
        <v>0</v>
      </c>
      <c r="ASQ57" s="4">
        <v>0</v>
      </c>
      <c r="ASR57" s="4">
        <v>0</v>
      </c>
      <c r="ASS57" s="4">
        <v>0</v>
      </c>
      <c r="AST57" s="4">
        <v>0</v>
      </c>
      <c r="ASU57" s="4">
        <v>0</v>
      </c>
      <c r="ASV57" s="4">
        <v>0</v>
      </c>
      <c r="ASW57" s="4">
        <v>0</v>
      </c>
      <c r="ASX57" s="4">
        <v>0</v>
      </c>
      <c r="ASY57" s="4">
        <v>0</v>
      </c>
      <c r="ASZ57" s="4">
        <v>0</v>
      </c>
      <c r="ATA57" s="4">
        <v>0</v>
      </c>
      <c r="ATB57" s="4">
        <v>0</v>
      </c>
      <c r="ATC57" s="4">
        <v>0</v>
      </c>
      <c r="ATD57" s="4">
        <v>0</v>
      </c>
      <c r="ATE57" s="4">
        <v>0</v>
      </c>
      <c r="ATF57" s="4">
        <v>0</v>
      </c>
      <c r="ATG57" s="4">
        <v>0</v>
      </c>
      <c r="ATH57" s="4">
        <v>0</v>
      </c>
      <c r="ATI57" s="4">
        <v>0</v>
      </c>
      <c r="ATJ57" s="4">
        <v>0</v>
      </c>
      <c r="ATK57" s="4">
        <v>0</v>
      </c>
      <c r="ATL57" s="4">
        <v>0</v>
      </c>
      <c r="ATM57" s="4">
        <v>0</v>
      </c>
      <c r="ATN57" s="4">
        <v>0</v>
      </c>
      <c r="ATO57" s="4">
        <v>0</v>
      </c>
      <c r="ATP57" s="4">
        <v>0</v>
      </c>
      <c r="ATQ57" s="4">
        <v>0</v>
      </c>
      <c r="ATR57" s="4">
        <v>0</v>
      </c>
      <c r="ATS57" s="4">
        <v>0</v>
      </c>
      <c r="ATT57" s="4">
        <v>0</v>
      </c>
      <c r="ATU57" s="4">
        <v>0</v>
      </c>
      <c r="ATV57" s="4">
        <v>0</v>
      </c>
      <c r="ATW57" s="4">
        <v>0</v>
      </c>
      <c r="ATX57" s="4">
        <v>0</v>
      </c>
      <c r="ATY57" s="4">
        <v>0</v>
      </c>
      <c r="ATZ57" s="4">
        <v>0</v>
      </c>
      <c r="AUA57" s="4">
        <v>0</v>
      </c>
      <c r="AUB57" s="4">
        <v>0</v>
      </c>
      <c r="AUC57" s="4">
        <v>0</v>
      </c>
      <c r="AUD57" s="4">
        <v>0</v>
      </c>
      <c r="AUE57" s="4">
        <v>0</v>
      </c>
      <c r="AUF57" s="4">
        <v>0</v>
      </c>
      <c r="AUG57" s="4">
        <v>0</v>
      </c>
      <c r="AUH57" s="4">
        <v>0</v>
      </c>
      <c r="AUI57" s="4">
        <v>0</v>
      </c>
      <c r="AUJ57" s="4">
        <v>0</v>
      </c>
      <c r="AUK57" s="4">
        <v>0</v>
      </c>
      <c r="AUL57" s="4">
        <v>0</v>
      </c>
      <c r="AUM57" s="4">
        <v>0</v>
      </c>
      <c r="AUN57" s="4">
        <v>0</v>
      </c>
      <c r="AUO57" s="4">
        <v>0</v>
      </c>
      <c r="AUP57" s="4">
        <v>0</v>
      </c>
      <c r="AUQ57" s="4">
        <v>0</v>
      </c>
      <c r="AUR57" s="4">
        <v>0</v>
      </c>
      <c r="AUS57" s="4">
        <v>0</v>
      </c>
      <c r="AUT57" s="4">
        <v>0</v>
      </c>
      <c r="AUU57" s="4">
        <v>0</v>
      </c>
      <c r="AUV57" s="4">
        <v>0</v>
      </c>
      <c r="AUW57" s="4">
        <v>0</v>
      </c>
      <c r="AUX57" s="4">
        <v>0</v>
      </c>
      <c r="AUY57" s="4">
        <v>0</v>
      </c>
      <c r="AUZ57" s="4">
        <v>0</v>
      </c>
      <c r="AVA57" s="4">
        <v>0</v>
      </c>
      <c r="AVB57" s="4">
        <v>0</v>
      </c>
      <c r="AVC57" s="4">
        <v>0</v>
      </c>
      <c r="AVD57" s="4">
        <v>0</v>
      </c>
      <c r="AVE57" s="4">
        <v>0</v>
      </c>
      <c r="AVF57" s="4">
        <v>0</v>
      </c>
      <c r="AVG57" s="4">
        <v>0</v>
      </c>
      <c r="AVH57" s="4">
        <v>0</v>
      </c>
      <c r="AVI57" s="4">
        <v>0</v>
      </c>
      <c r="AVJ57" s="4">
        <v>0</v>
      </c>
      <c r="AVK57" s="4">
        <v>0</v>
      </c>
      <c r="AVL57" s="4">
        <v>0</v>
      </c>
      <c r="AVM57" s="4">
        <v>2</v>
      </c>
      <c r="AVN57" s="4">
        <v>93</v>
      </c>
      <c r="AVO57" s="4">
        <v>17</v>
      </c>
      <c r="AVP57" s="4">
        <v>26</v>
      </c>
      <c r="AVQ57" s="4">
        <v>8</v>
      </c>
      <c r="AVR57" s="4">
        <v>0</v>
      </c>
      <c r="AVS57" s="4">
        <v>0</v>
      </c>
      <c r="AVT57" s="4">
        <v>12</v>
      </c>
      <c r="AVU57" s="4">
        <v>2</v>
      </c>
      <c r="AVV57" s="4">
        <v>2</v>
      </c>
      <c r="AVW57" s="4">
        <v>1</v>
      </c>
      <c r="AVX57" s="4">
        <v>418</v>
      </c>
      <c r="AVY57" s="4">
        <v>496</v>
      </c>
      <c r="AVZ57" s="4">
        <v>1</v>
      </c>
      <c r="AWA57" s="4">
        <v>53</v>
      </c>
      <c r="AWB57" s="4">
        <v>5</v>
      </c>
      <c r="AWC57" s="4" t="s">
        <v>1676</v>
      </c>
      <c r="AWD57" s="4">
        <v>9</v>
      </c>
      <c r="AWE57" s="4" t="s">
        <v>1680</v>
      </c>
      <c r="AWF57" s="4">
        <v>15</v>
      </c>
      <c r="AWG57" s="4">
        <v>30</v>
      </c>
      <c r="AWH57" s="4">
        <v>4</v>
      </c>
      <c r="AWI57" s="4">
        <v>0</v>
      </c>
      <c r="AWJ57" s="4">
        <v>0</v>
      </c>
      <c r="AWK57" s="4">
        <v>0</v>
      </c>
      <c r="AWL57" s="4">
        <v>0</v>
      </c>
      <c r="AWM57" s="4">
        <v>0</v>
      </c>
      <c r="AWN57" s="4">
        <v>0</v>
      </c>
      <c r="AWO57" s="4">
        <v>0</v>
      </c>
      <c r="AWP57" s="4">
        <v>0</v>
      </c>
      <c r="AWQ57" s="4">
        <v>0.65</v>
      </c>
      <c r="AWR57" s="4">
        <v>0</v>
      </c>
      <c r="AWS57" s="4">
        <v>0</v>
      </c>
      <c r="AWT57" s="4">
        <v>0</v>
      </c>
      <c r="AWU57" s="4">
        <v>0</v>
      </c>
      <c r="AWV57" s="4">
        <v>0</v>
      </c>
      <c r="AWW57" s="4">
        <v>0</v>
      </c>
      <c r="AWX57" s="4">
        <v>0</v>
      </c>
      <c r="AWY57" s="4">
        <v>0</v>
      </c>
      <c r="AWZ57" s="4">
        <v>8</v>
      </c>
      <c r="AXA57" s="4">
        <v>1</v>
      </c>
      <c r="AXB57" s="4">
        <v>0</v>
      </c>
      <c r="AXC57" s="4">
        <v>0</v>
      </c>
      <c r="AXD57" s="4">
        <v>0</v>
      </c>
      <c r="AXE57" s="4">
        <v>0</v>
      </c>
      <c r="AXF57" s="4">
        <v>0</v>
      </c>
      <c r="AXG57" s="4">
        <v>0</v>
      </c>
      <c r="AXH57" s="4">
        <v>0</v>
      </c>
      <c r="AXI57" s="4">
        <v>0</v>
      </c>
      <c r="AXJ57" s="4">
        <v>0</v>
      </c>
      <c r="AXK57" s="4">
        <v>0</v>
      </c>
      <c r="AXL57" s="4">
        <v>0</v>
      </c>
      <c r="AXM57" s="4">
        <v>0</v>
      </c>
      <c r="AXN57" s="4">
        <v>0</v>
      </c>
      <c r="AXO57" s="4">
        <v>0</v>
      </c>
      <c r="AXP57" s="4">
        <v>0</v>
      </c>
      <c r="AXQ57" s="4">
        <v>0</v>
      </c>
      <c r="AXR57" s="4">
        <v>0</v>
      </c>
      <c r="AXS57" s="4">
        <v>0</v>
      </c>
      <c r="AXT57" s="4">
        <v>0</v>
      </c>
      <c r="AXU57" s="4">
        <v>0</v>
      </c>
      <c r="AXV57" s="4">
        <v>0</v>
      </c>
      <c r="AXW57" s="4">
        <v>0</v>
      </c>
      <c r="AXX57" s="4">
        <v>0</v>
      </c>
      <c r="AXY57" s="4">
        <v>0</v>
      </c>
      <c r="AXZ57" s="4">
        <v>0</v>
      </c>
      <c r="AYA57" s="4">
        <v>0</v>
      </c>
      <c r="AYB57" s="4">
        <v>0</v>
      </c>
      <c r="AYC57" s="4">
        <v>0</v>
      </c>
      <c r="AYD57" s="4">
        <v>0</v>
      </c>
      <c r="AYE57" s="4">
        <v>0</v>
      </c>
      <c r="AYF57" s="4">
        <v>0</v>
      </c>
      <c r="AYG57" s="4">
        <v>0</v>
      </c>
      <c r="AYH57" s="4">
        <v>0</v>
      </c>
      <c r="AYI57" s="4">
        <v>0</v>
      </c>
      <c r="AYJ57" s="4">
        <v>2</v>
      </c>
      <c r="AYK57" s="4">
        <v>0</v>
      </c>
      <c r="AYL57" s="4">
        <v>0</v>
      </c>
      <c r="AYM57" s="4">
        <v>0</v>
      </c>
      <c r="AYN57" s="4">
        <v>0</v>
      </c>
      <c r="AYO57" s="4">
        <v>0</v>
      </c>
      <c r="AYP57" s="4">
        <v>0</v>
      </c>
      <c r="AYQ57" s="4">
        <v>0</v>
      </c>
      <c r="AYR57" s="4">
        <v>0</v>
      </c>
      <c r="AYS57" s="4">
        <v>0</v>
      </c>
      <c r="AYT57" s="4">
        <v>1</v>
      </c>
      <c r="AYU57" s="4">
        <v>5</v>
      </c>
      <c r="AYV57" s="4">
        <v>0</v>
      </c>
      <c r="AYW57" s="4">
        <v>0</v>
      </c>
      <c r="AYX57" s="4">
        <v>0</v>
      </c>
      <c r="AYY57" s="4">
        <v>0</v>
      </c>
      <c r="AYZ57" s="4">
        <v>0</v>
      </c>
      <c r="AZA57" s="4">
        <v>0</v>
      </c>
      <c r="AZB57" s="4">
        <v>1</v>
      </c>
      <c r="AZC57" s="4">
        <v>0</v>
      </c>
      <c r="AZD57" s="4">
        <v>0</v>
      </c>
      <c r="AZE57" s="4">
        <v>0</v>
      </c>
      <c r="AZF57" s="4">
        <v>0</v>
      </c>
      <c r="AZG57" s="4">
        <v>0</v>
      </c>
      <c r="AZH57" s="4">
        <v>0</v>
      </c>
      <c r="AZI57" s="4">
        <v>0</v>
      </c>
      <c r="AZJ57" s="4">
        <v>0</v>
      </c>
      <c r="AZK57" s="4">
        <v>0</v>
      </c>
      <c r="AZL57" s="4">
        <v>0</v>
      </c>
      <c r="AZM57" s="4">
        <v>0</v>
      </c>
      <c r="AZN57" s="4">
        <v>0</v>
      </c>
      <c r="AZO57" s="4">
        <v>0</v>
      </c>
      <c r="AZP57" s="4">
        <v>0</v>
      </c>
      <c r="AZQ57" s="4">
        <v>0</v>
      </c>
      <c r="AZR57" s="4">
        <v>0</v>
      </c>
      <c r="AZS57" s="4">
        <v>0</v>
      </c>
      <c r="AZT57" s="4">
        <v>0</v>
      </c>
      <c r="AZU57" s="4">
        <v>0</v>
      </c>
      <c r="AZV57" s="4">
        <v>0</v>
      </c>
      <c r="AZW57" s="4">
        <v>0</v>
      </c>
      <c r="AZX57" s="4">
        <v>0</v>
      </c>
      <c r="AZY57" s="4">
        <v>0</v>
      </c>
      <c r="AZZ57" s="4">
        <v>0</v>
      </c>
      <c r="BAA57" s="4">
        <v>0</v>
      </c>
      <c r="BAB57" s="4">
        <v>0</v>
      </c>
      <c r="BAC57" s="4">
        <v>0</v>
      </c>
      <c r="BAD57" s="4">
        <v>0</v>
      </c>
      <c r="BAE57" s="4">
        <v>0</v>
      </c>
      <c r="BAF57" s="4">
        <v>0</v>
      </c>
      <c r="BAG57" s="4">
        <v>0</v>
      </c>
      <c r="BAH57" s="4">
        <v>0</v>
      </c>
      <c r="BAI57" s="4">
        <v>0</v>
      </c>
      <c r="BAJ57" s="4">
        <v>0</v>
      </c>
      <c r="BAK57" s="4">
        <v>0</v>
      </c>
      <c r="BAL57" s="4">
        <v>0</v>
      </c>
      <c r="BAM57" s="4">
        <v>0</v>
      </c>
      <c r="BAN57" s="4">
        <v>0</v>
      </c>
      <c r="BAO57" s="4">
        <v>0</v>
      </c>
      <c r="BAP57" s="4">
        <v>0</v>
      </c>
      <c r="BAQ57" s="4">
        <v>0</v>
      </c>
      <c r="BAR57" s="4">
        <v>2</v>
      </c>
      <c r="BAS57" s="4">
        <v>0</v>
      </c>
      <c r="BAT57" s="4">
        <v>0</v>
      </c>
      <c r="BAU57" s="4">
        <v>0</v>
      </c>
      <c r="BAV57" s="4">
        <v>0</v>
      </c>
      <c r="BAW57" s="4">
        <v>0</v>
      </c>
      <c r="BAX57" s="4">
        <v>0</v>
      </c>
      <c r="BAY57" s="4">
        <v>1</v>
      </c>
      <c r="BAZ57" s="4">
        <v>0</v>
      </c>
      <c r="BBA57" s="4">
        <v>0</v>
      </c>
      <c r="BBB57" s="4">
        <v>0</v>
      </c>
      <c r="BBC57" s="4">
        <v>0</v>
      </c>
      <c r="BBD57" s="4">
        <v>5</v>
      </c>
      <c r="BBE57" s="4">
        <v>0</v>
      </c>
      <c r="BBF57" s="4">
        <v>2</v>
      </c>
      <c r="BBG57" s="4">
        <v>0</v>
      </c>
      <c r="BBH57" s="4">
        <v>0</v>
      </c>
      <c r="BBI57" s="4">
        <v>0</v>
      </c>
      <c r="BBJ57" s="4">
        <v>0</v>
      </c>
      <c r="BBK57" s="4">
        <v>0</v>
      </c>
      <c r="BBL57" s="4">
        <v>0</v>
      </c>
      <c r="BBM57" s="4">
        <v>0</v>
      </c>
      <c r="BBN57" s="4">
        <v>0</v>
      </c>
      <c r="BBO57" s="4">
        <v>0</v>
      </c>
      <c r="BBP57" s="4">
        <v>0</v>
      </c>
      <c r="BBQ57" s="4">
        <v>8</v>
      </c>
      <c r="BBR57" s="4">
        <v>0</v>
      </c>
      <c r="BBS57" s="4">
        <v>0</v>
      </c>
      <c r="BBT57" s="4">
        <v>0</v>
      </c>
      <c r="BBU57" s="4">
        <v>0</v>
      </c>
      <c r="BBV57" s="4">
        <v>0</v>
      </c>
      <c r="BBW57" s="4">
        <v>0</v>
      </c>
      <c r="BBX57" s="4">
        <v>1</v>
      </c>
      <c r="BBY57" s="4">
        <v>0</v>
      </c>
      <c r="BBZ57" s="4">
        <v>2</v>
      </c>
      <c r="BCA57" s="4">
        <v>0</v>
      </c>
      <c r="BCB57" s="4">
        <v>0</v>
      </c>
      <c r="BCC57" s="4">
        <v>0</v>
      </c>
      <c r="BCD57" s="4">
        <v>0</v>
      </c>
      <c r="BCE57" s="4">
        <v>0</v>
      </c>
      <c r="BCF57" s="4">
        <v>0</v>
      </c>
      <c r="BCG57" s="4">
        <v>0</v>
      </c>
      <c r="BCH57" s="4">
        <v>0</v>
      </c>
      <c r="BCI57" s="4">
        <v>0</v>
      </c>
      <c r="BCJ57" s="4">
        <v>0</v>
      </c>
      <c r="BCK57" s="4">
        <v>0</v>
      </c>
      <c r="BCL57" s="4">
        <v>0</v>
      </c>
      <c r="BCM57" s="4">
        <v>0</v>
      </c>
      <c r="BCN57" s="4">
        <v>0</v>
      </c>
      <c r="BCO57" s="4">
        <v>0</v>
      </c>
      <c r="BCP57" s="4">
        <v>0</v>
      </c>
      <c r="BCQ57" s="4">
        <v>0</v>
      </c>
      <c r="BCR57" s="4">
        <v>2</v>
      </c>
      <c r="BCS57" s="4">
        <v>0</v>
      </c>
      <c r="BCT57" s="4">
        <v>0</v>
      </c>
      <c r="BCU57" s="4">
        <v>0</v>
      </c>
      <c r="BCV57" s="4">
        <v>0</v>
      </c>
      <c r="BCW57" s="4">
        <v>0</v>
      </c>
      <c r="BCX57" s="4">
        <v>0</v>
      </c>
      <c r="BCY57" s="4">
        <v>0</v>
      </c>
      <c r="BCZ57" s="4">
        <v>0</v>
      </c>
      <c r="BDA57" s="4">
        <v>0</v>
      </c>
      <c r="BDB57" s="4">
        <v>0</v>
      </c>
      <c r="BDC57" s="4">
        <v>0</v>
      </c>
      <c r="BDD57" s="4">
        <v>0</v>
      </c>
      <c r="BDE57" s="4">
        <v>0</v>
      </c>
      <c r="BDF57" s="4">
        <v>0</v>
      </c>
      <c r="BDG57" s="4">
        <v>1</v>
      </c>
      <c r="BDH57" s="4">
        <v>0</v>
      </c>
      <c r="BDI57" s="4">
        <v>0</v>
      </c>
      <c r="BDJ57" s="4">
        <v>0</v>
      </c>
      <c r="BDK57" s="4">
        <v>0</v>
      </c>
      <c r="BDL57" s="4">
        <v>0</v>
      </c>
      <c r="BDM57" s="4">
        <v>0</v>
      </c>
      <c r="BDN57" s="4">
        <v>0</v>
      </c>
      <c r="BDO57" s="4">
        <v>0</v>
      </c>
      <c r="BDP57" s="4">
        <v>1</v>
      </c>
      <c r="BDQ57" s="4">
        <v>0</v>
      </c>
      <c r="BDR57" s="4">
        <v>0</v>
      </c>
      <c r="BDS57" s="4">
        <v>0</v>
      </c>
      <c r="BDT57" s="4">
        <v>5</v>
      </c>
      <c r="BDU57" s="4">
        <v>0</v>
      </c>
      <c r="BDV57" s="4">
        <v>0</v>
      </c>
      <c r="BDW57" s="4">
        <v>1</v>
      </c>
      <c r="BDX57" s="4">
        <v>0</v>
      </c>
      <c r="BDY57" s="4">
        <v>0</v>
      </c>
      <c r="BDZ57" s="4">
        <v>0</v>
      </c>
      <c r="BEA57" s="4">
        <v>0</v>
      </c>
      <c r="BEB57" s="4">
        <v>0</v>
      </c>
      <c r="BEC57" s="4">
        <v>0</v>
      </c>
      <c r="BED57" s="4">
        <v>0</v>
      </c>
      <c r="BEE57" s="4">
        <v>0</v>
      </c>
      <c r="BEF57" s="4">
        <v>1</v>
      </c>
      <c r="BEG57" s="4">
        <v>0</v>
      </c>
      <c r="BEH57" s="4">
        <v>0</v>
      </c>
      <c r="BEI57" s="4">
        <v>0</v>
      </c>
      <c r="BEJ57" s="4">
        <v>0</v>
      </c>
      <c r="BEK57" s="4">
        <v>0</v>
      </c>
      <c r="BEL57" s="4">
        <v>0</v>
      </c>
      <c r="BEM57" s="4">
        <v>0</v>
      </c>
      <c r="BEN57" s="4">
        <v>0</v>
      </c>
      <c r="BEO57" s="4">
        <v>0</v>
      </c>
      <c r="BEP57" s="4">
        <v>0</v>
      </c>
      <c r="BEQ57" s="4">
        <v>0</v>
      </c>
      <c r="BER57" s="4">
        <v>0</v>
      </c>
      <c r="BES57" s="4">
        <v>0</v>
      </c>
      <c r="BET57" s="4">
        <v>0</v>
      </c>
      <c r="BEU57" s="4">
        <v>0</v>
      </c>
      <c r="BEV57" s="4">
        <v>0</v>
      </c>
      <c r="BEW57" s="4">
        <v>0</v>
      </c>
      <c r="BEX57" s="4">
        <v>0</v>
      </c>
      <c r="BEY57" s="4">
        <v>0</v>
      </c>
      <c r="BEZ57" s="4">
        <v>0</v>
      </c>
      <c r="BFA57" s="4">
        <v>0</v>
      </c>
      <c r="BFB57" s="4">
        <v>0</v>
      </c>
      <c r="BFC57" s="4">
        <v>0</v>
      </c>
      <c r="BFD57" s="4">
        <v>0</v>
      </c>
      <c r="BFE57" s="4">
        <v>0</v>
      </c>
      <c r="BFF57" s="4">
        <v>0</v>
      </c>
      <c r="BFG57" s="4">
        <v>0</v>
      </c>
      <c r="BFH57" s="4">
        <v>0</v>
      </c>
      <c r="BFI57" s="4">
        <v>0</v>
      </c>
      <c r="BFJ57" s="4">
        <v>0</v>
      </c>
      <c r="BFK57" s="4">
        <v>0</v>
      </c>
      <c r="BFL57" s="4">
        <v>0</v>
      </c>
      <c r="BFM57" s="4">
        <v>0</v>
      </c>
      <c r="BFN57" s="4">
        <v>0</v>
      </c>
      <c r="BFO57" s="4">
        <v>0</v>
      </c>
      <c r="BFP57" s="4">
        <v>0</v>
      </c>
      <c r="BFQ57" s="4">
        <v>1</v>
      </c>
      <c r="BFR57" s="4">
        <v>0</v>
      </c>
      <c r="BFS57" s="4">
        <v>0</v>
      </c>
      <c r="BFT57" s="4">
        <v>0</v>
      </c>
      <c r="BFU57" s="4">
        <v>0</v>
      </c>
      <c r="BFV57" s="4">
        <v>0</v>
      </c>
      <c r="BFW57" s="4">
        <v>0</v>
      </c>
      <c r="BFX57" s="4">
        <v>0</v>
      </c>
      <c r="BFY57" s="4">
        <v>0</v>
      </c>
      <c r="BFZ57" s="4">
        <v>0</v>
      </c>
      <c r="BGA57" s="4">
        <v>0</v>
      </c>
      <c r="BGB57" s="4">
        <v>0</v>
      </c>
      <c r="BGC57" s="4">
        <v>0</v>
      </c>
      <c r="BGD57" s="4">
        <v>0</v>
      </c>
      <c r="BGE57" s="4">
        <v>0</v>
      </c>
      <c r="BGF57" s="4">
        <v>0</v>
      </c>
      <c r="BGG57" s="4">
        <v>0</v>
      </c>
      <c r="BGH57" s="4">
        <v>0</v>
      </c>
      <c r="BGI57" s="4">
        <v>0</v>
      </c>
      <c r="BGJ57" s="4">
        <v>0</v>
      </c>
      <c r="BGK57" s="4">
        <v>0</v>
      </c>
      <c r="BGL57" s="4">
        <v>0</v>
      </c>
      <c r="BGM57" s="4">
        <v>0</v>
      </c>
      <c r="BGN57" s="4">
        <v>0</v>
      </c>
      <c r="BGO57" s="4">
        <v>0</v>
      </c>
      <c r="BGP57" s="4">
        <v>0</v>
      </c>
      <c r="BGQ57" s="4">
        <v>0</v>
      </c>
      <c r="BGR57" s="4">
        <v>0</v>
      </c>
      <c r="BGS57" s="4">
        <v>0</v>
      </c>
      <c r="BGT57" s="4">
        <v>0</v>
      </c>
      <c r="BGU57" s="4">
        <v>0</v>
      </c>
      <c r="BGV57" s="4">
        <v>0</v>
      </c>
      <c r="BGW57" s="4">
        <v>0</v>
      </c>
      <c r="BGX57" s="4">
        <v>2</v>
      </c>
      <c r="BGY57" s="4">
        <v>0</v>
      </c>
      <c r="BGZ57" s="4">
        <v>0</v>
      </c>
      <c r="BHA57" s="4">
        <v>0</v>
      </c>
      <c r="BHB57" s="4">
        <v>0</v>
      </c>
      <c r="BHC57" s="4">
        <v>0</v>
      </c>
      <c r="BHD57" s="4">
        <v>0</v>
      </c>
      <c r="BHE57" s="4">
        <v>0</v>
      </c>
      <c r="BHF57" s="4">
        <v>0</v>
      </c>
      <c r="BHG57" s="4">
        <v>0</v>
      </c>
      <c r="BHH57" s="4">
        <v>0</v>
      </c>
      <c r="BHI57" s="4">
        <v>0</v>
      </c>
      <c r="BHJ57" s="4">
        <v>0</v>
      </c>
      <c r="BHK57" s="4">
        <v>0</v>
      </c>
      <c r="BHL57" s="4">
        <v>0</v>
      </c>
      <c r="BHM57" s="4">
        <v>0</v>
      </c>
      <c r="BHN57" s="4">
        <v>0</v>
      </c>
      <c r="BHO57" s="4">
        <v>0</v>
      </c>
      <c r="BHP57" s="4">
        <v>0</v>
      </c>
      <c r="BHQ57" s="4">
        <v>0</v>
      </c>
      <c r="BHR57" s="4">
        <v>0</v>
      </c>
      <c r="BHS57" s="4">
        <v>0</v>
      </c>
      <c r="BHT57" s="4">
        <v>0</v>
      </c>
      <c r="BHU57" s="4">
        <v>0</v>
      </c>
      <c r="BHV57" s="4">
        <v>0</v>
      </c>
      <c r="BHW57" s="4">
        <v>0</v>
      </c>
      <c r="BHX57" s="4">
        <v>0</v>
      </c>
      <c r="BHY57" s="4">
        <v>0</v>
      </c>
      <c r="BHZ57" s="4">
        <v>0</v>
      </c>
      <c r="BIA57" s="4">
        <v>0</v>
      </c>
      <c r="BIB57" s="4">
        <v>0</v>
      </c>
      <c r="BIC57" s="4">
        <v>0</v>
      </c>
      <c r="BID57" s="4">
        <v>0</v>
      </c>
      <c r="BIE57" s="4">
        <v>0</v>
      </c>
      <c r="BIF57" s="4">
        <v>0</v>
      </c>
      <c r="BIG57" s="4">
        <v>0</v>
      </c>
      <c r="BIH57" s="4">
        <v>0</v>
      </c>
      <c r="BII57" s="4">
        <v>0</v>
      </c>
      <c r="BIJ57" s="4">
        <v>0</v>
      </c>
      <c r="BIK57" s="4">
        <v>0</v>
      </c>
      <c r="BIL57" s="4">
        <v>0</v>
      </c>
      <c r="BIM57" s="4">
        <v>0</v>
      </c>
      <c r="BIN57" s="4">
        <v>0</v>
      </c>
      <c r="BIO57" s="4">
        <v>0</v>
      </c>
      <c r="BIP57" s="4">
        <v>0</v>
      </c>
      <c r="BIQ57" s="4">
        <v>0</v>
      </c>
      <c r="BIR57" s="4">
        <v>0</v>
      </c>
      <c r="BIS57" s="4">
        <v>0</v>
      </c>
      <c r="BIT57" s="4">
        <v>0</v>
      </c>
      <c r="BIU57" s="4">
        <v>0</v>
      </c>
      <c r="BIV57" s="4">
        <v>0</v>
      </c>
      <c r="BIW57" s="4">
        <v>0</v>
      </c>
      <c r="BIX57" s="4">
        <v>0</v>
      </c>
      <c r="BIY57" s="4">
        <v>0</v>
      </c>
      <c r="BIZ57" s="4">
        <v>0</v>
      </c>
      <c r="BJA57" s="4">
        <v>0</v>
      </c>
      <c r="BJB57" s="4">
        <v>0</v>
      </c>
      <c r="BJC57" s="4">
        <v>0</v>
      </c>
      <c r="BJD57" s="4">
        <v>0</v>
      </c>
      <c r="BJE57" s="4">
        <v>0</v>
      </c>
      <c r="BJF57" s="4">
        <v>0</v>
      </c>
      <c r="BJG57" s="4">
        <v>0</v>
      </c>
      <c r="BJH57" s="4">
        <v>0</v>
      </c>
      <c r="BJI57" s="4">
        <v>0</v>
      </c>
      <c r="BJJ57" s="4">
        <v>0</v>
      </c>
      <c r="BJK57" s="4">
        <v>0</v>
      </c>
      <c r="BJL57" s="4">
        <v>0</v>
      </c>
      <c r="BJM57" s="4">
        <v>0</v>
      </c>
      <c r="BJN57" s="4">
        <v>0</v>
      </c>
      <c r="BJO57" s="4">
        <v>0</v>
      </c>
      <c r="BJP57" s="4">
        <v>0</v>
      </c>
      <c r="BJQ57" s="4">
        <v>0</v>
      </c>
      <c r="BJR57" s="4">
        <v>0</v>
      </c>
      <c r="BJS57" s="4">
        <v>0</v>
      </c>
      <c r="BJT57" s="4">
        <v>0</v>
      </c>
      <c r="BJU57" s="4">
        <v>0</v>
      </c>
      <c r="BJV57" s="4">
        <v>0</v>
      </c>
      <c r="BJW57" s="4">
        <v>0</v>
      </c>
      <c r="BJX57" s="4">
        <v>0</v>
      </c>
      <c r="BJY57" s="4">
        <v>0</v>
      </c>
      <c r="BJZ57" s="4">
        <v>0</v>
      </c>
      <c r="BKA57" s="4">
        <v>0</v>
      </c>
      <c r="BKB57" s="4">
        <v>0</v>
      </c>
      <c r="BKC57" s="4">
        <v>0</v>
      </c>
      <c r="BKD57" s="4">
        <v>0</v>
      </c>
      <c r="BKE57" s="4">
        <v>0</v>
      </c>
      <c r="BKF57" s="4">
        <v>0</v>
      </c>
      <c r="BKG57" s="4">
        <v>0</v>
      </c>
      <c r="BKH57" s="4">
        <v>0</v>
      </c>
      <c r="BKI57" s="4">
        <v>0</v>
      </c>
      <c r="BKJ57" s="4">
        <v>0</v>
      </c>
      <c r="BKK57" s="4">
        <v>0</v>
      </c>
      <c r="BKL57" s="4">
        <v>0</v>
      </c>
      <c r="BKM57" s="4">
        <v>0</v>
      </c>
      <c r="BKN57" s="4">
        <v>0</v>
      </c>
      <c r="BKO57" s="4">
        <v>0</v>
      </c>
      <c r="BKP57" s="4">
        <v>0</v>
      </c>
      <c r="BKQ57" s="4">
        <v>0</v>
      </c>
      <c r="BKR57" s="4">
        <v>0</v>
      </c>
      <c r="BKS57" s="4">
        <v>0</v>
      </c>
      <c r="BKT57" s="4">
        <v>0</v>
      </c>
      <c r="BKU57" s="4">
        <v>0</v>
      </c>
      <c r="BKV57" s="4">
        <v>0</v>
      </c>
      <c r="BKW57" s="4">
        <v>0</v>
      </c>
      <c r="BKX57" s="4">
        <v>0</v>
      </c>
      <c r="BKY57" s="4">
        <v>0</v>
      </c>
      <c r="BKZ57" s="4">
        <v>0</v>
      </c>
      <c r="BLA57" s="4">
        <v>0</v>
      </c>
      <c r="BLB57" s="4">
        <v>0</v>
      </c>
      <c r="BLC57" s="4">
        <v>0</v>
      </c>
      <c r="BLD57" s="4">
        <v>0</v>
      </c>
      <c r="BLE57" s="4">
        <v>0</v>
      </c>
      <c r="BLF57" s="4">
        <v>0</v>
      </c>
      <c r="BLG57" s="4">
        <v>0</v>
      </c>
      <c r="BLH57" s="4">
        <v>0</v>
      </c>
      <c r="BLI57" s="4">
        <v>0</v>
      </c>
      <c r="BLJ57" s="4">
        <v>0</v>
      </c>
      <c r="BLK57" s="4">
        <v>0</v>
      </c>
    </row>
    <row r="58" spans="1:1675" x14ac:dyDescent="0.2">
      <c r="A58">
        <v>5</v>
      </c>
      <c r="B58">
        <v>14</v>
      </c>
      <c r="C58">
        <f t="shared" si="16"/>
        <v>80</v>
      </c>
      <c r="D58">
        <f t="shared" si="14"/>
        <v>973</v>
      </c>
      <c r="E58">
        <f t="shared" si="15"/>
        <v>57</v>
      </c>
      <c r="F58">
        <f t="shared" si="17"/>
        <v>8</v>
      </c>
      <c r="G58">
        <f t="shared" si="18"/>
        <v>3</v>
      </c>
      <c r="H58" cm="1">
        <f t="array" ref="H58">_xlfn.IFS(P58=0, 1, P58=7, 2, P58=5, 3)</f>
        <v>2</v>
      </c>
      <c r="I58" cm="1">
        <f t="array" ref="I58">_xlfn.IFS(H58=1, IF(AC58=0, P58, PO58), H58=2, IF(AC58=0, P58, AFN58), H58=3, IF(AC58=0, P58, AVM58))</f>
        <v>7</v>
      </c>
      <c r="J58" cm="1">
        <f t="array" ref="J58">_xlfn.IFS(I58=0, 1, I58=1, 0, I58=2, 7, I58=7, 2, I58=5, 6, I58=6, 5)</f>
        <v>2</v>
      </c>
      <c r="K58" cm="1">
        <f t="array" ref="K58">_xlfn.IFNA(_xlfn.IFS(P58&lt;&gt;P59, 1, A58&lt;&gt;A59, IF(P59=P58, 1)), "")</f>
        <v>1</v>
      </c>
      <c r="L58">
        <f t="shared" si="7"/>
        <v>7</v>
      </c>
      <c r="M58" t="s">
        <v>1740</v>
      </c>
      <c r="N58" s="4" t="s">
        <v>1757</v>
      </c>
      <c r="O58" s="4"/>
      <c r="P58" s="4">
        <v>7</v>
      </c>
      <c r="Q58" s="4">
        <v>65</v>
      </c>
      <c r="R58" s="4">
        <v>10</v>
      </c>
      <c r="S58" s="4">
        <v>19</v>
      </c>
      <c r="T58" s="4">
        <v>7</v>
      </c>
      <c r="U58" s="4">
        <v>0</v>
      </c>
      <c r="V58" s="4">
        <v>0</v>
      </c>
      <c r="W58" s="4">
        <v>9</v>
      </c>
      <c r="X58" s="4">
        <v>1</v>
      </c>
      <c r="Y58" s="4">
        <v>0</v>
      </c>
      <c r="Z58" s="4">
        <v>0</v>
      </c>
      <c r="AA58" s="4">
        <v>375</v>
      </c>
      <c r="AB58" s="4">
        <v>431</v>
      </c>
      <c r="AC58" s="4">
        <v>0</v>
      </c>
      <c r="AD58" s="4">
        <v>33</v>
      </c>
      <c r="AE58" s="4">
        <v>2</v>
      </c>
      <c r="AF58" s="4" t="s">
        <v>1678</v>
      </c>
      <c r="AG58" s="4">
        <v>5</v>
      </c>
      <c r="AH58" s="4" t="s">
        <v>1678</v>
      </c>
      <c r="AI58" s="4">
        <v>11</v>
      </c>
      <c r="AJ58" s="4">
        <v>13</v>
      </c>
      <c r="AK58" s="4">
        <v>3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0.53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7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3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1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1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3</v>
      </c>
      <c r="FC58" s="4">
        <v>0</v>
      </c>
      <c r="FD58" s="4">
        <v>0</v>
      </c>
      <c r="FE58" s="4">
        <v>0</v>
      </c>
      <c r="FF58" s="4">
        <v>0</v>
      </c>
      <c r="FG58" s="4">
        <v>1</v>
      </c>
      <c r="FH58" s="4">
        <v>0</v>
      </c>
      <c r="FI58" s="4">
        <v>1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3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2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3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5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1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0</v>
      </c>
      <c r="JL58" s="4">
        <v>0</v>
      </c>
      <c r="JM58" s="4">
        <v>0</v>
      </c>
      <c r="JN58" s="4">
        <v>0</v>
      </c>
      <c r="JO58" s="4">
        <v>0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1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0</v>
      </c>
      <c r="LS58" s="4">
        <v>0</v>
      </c>
      <c r="LT58" s="4">
        <v>0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0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0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0</v>
      </c>
      <c r="NW58" s="4">
        <v>0</v>
      </c>
      <c r="NX58" s="4">
        <v>0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0</v>
      </c>
      <c r="OG58" s="4">
        <v>0</v>
      </c>
      <c r="OH58" s="4">
        <v>0</v>
      </c>
      <c r="OI58" s="4">
        <v>0</v>
      </c>
      <c r="OJ58" s="4">
        <v>0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4">
        <v>0</v>
      </c>
      <c r="PH58" s="4">
        <v>0</v>
      </c>
      <c r="PI58" s="4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7</v>
      </c>
      <c r="PP58" s="4">
        <v>85</v>
      </c>
      <c r="PQ58" s="4">
        <v>19</v>
      </c>
      <c r="PR58" s="4">
        <v>17</v>
      </c>
      <c r="PS58" s="4">
        <v>5</v>
      </c>
      <c r="PT58" s="4">
        <v>0</v>
      </c>
      <c r="PU58" s="4">
        <v>0</v>
      </c>
      <c r="PV58" s="4">
        <v>15</v>
      </c>
      <c r="PW58" s="4">
        <v>3</v>
      </c>
      <c r="PX58" s="4">
        <v>1</v>
      </c>
      <c r="PY58" s="4">
        <v>0</v>
      </c>
      <c r="PZ58" s="4">
        <v>380</v>
      </c>
      <c r="QA58" s="4">
        <v>431</v>
      </c>
      <c r="QB58" s="4">
        <v>0</v>
      </c>
      <c r="QC58" s="4">
        <v>47</v>
      </c>
      <c r="QD58" s="4">
        <v>3</v>
      </c>
      <c r="QE58" s="4" t="s">
        <v>1671</v>
      </c>
      <c r="QF58" s="4">
        <v>12</v>
      </c>
      <c r="QG58" s="4" t="s">
        <v>1671</v>
      </c>
      <c r="QH58" s="4">
        <v>10</v>
      </c>
      <c r="QI58" s="4">
        <v>13</v>
      </c>
      <c r="QJ58" s="4">
        <v>6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1.1200000000000001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4</v>
      </c>
      <c r="RC58" s="4">
        <v>4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0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1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1</v>
      </c>
      <c r="TE58" s="4">
        <v>0</v>
      </c>
      <c r="TF58" s="4">
        <v>0</v>
      </c>
      <c r="TG58" s="4">
        <v>0</v>
      </c>
      <c r="TH58" s="4">
        <v>0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3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2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4">
        <v>0</v>
      </c>
      <c r="VE58" s="4">
        <v>0</v>
      </c>
      <c r="VF58" s="4">
        <v>1</v>
      </c>
      <c r="VG58" s="4">
        <v>0</v>
      </c>
      <c r="VH58" s="4">
        <v>2</v>
      </c>
      <c r="VI58" s="4">
        <v>0</v>
      </c>
      <c r="VJ58" s="4">
        <v>0</v>
      </c>
      <c r="VK58" s="4">
        <v>0</v>
      </c>
      <c r="VL58" s="4">
        <v>0</v>
      </c>
      <c r="VM58" s="4">
        <v>0</v>
      </c>
      <c r="VN58" s="4">
        <v>0</v>
      </c>
      <c r="VO58" s="4">
        <v>0</v>
      </c>
      <c r="VP58" s="4">
        <v>0</v>
      </c>
      <c r="VQ58" s="4">
        <v>0</v>
      </c>
      <c r="VR58" s="4">
        <v>0</v>
      </c>
      <c r="VS58" s="4">
        <v>9</v>
      </c>
      <c r="VT58" s="4">
        <v>0</v>
      </c>
      <c r="VU58" s="4">
        <v>0</v>
      </c>
      <c r="VV58" s="4">
        <v>0</v>
      </c>
      <c r="VW58" s="4">
        <v>0</v>
      </c>
      <c r="VX58" s="4">
        <v>0</v>
      </c>
      <c r="VY58" s="4">
        <v>0</v>
      </c>
      <c r="VZ58" s="4">
        <v>0</v>
      </c>
      <c r="WA58" s="4">
        <v>0</v>
      </c>
      <c r="WB58" s="4">
        <v>0</v>
      </c>
      <c r="WC58" s="4">
        <v>0</v>
      </c>
      <c r="WD58" s="4">
        <v>0</v>
      </c>
      <c r="WE58" s="4">
        <v>0</v>
      </c>
      <c r="WF58" s="4">
        <v>0</v>
      </c>
      <c r="WG58" s="4">
        <v>0</v>
      </c>
      <c r="WH58" s="4">
        <v>0</v>
      </c>
      <c r="WI58" s="4">
        <v>0</v>
      </c>
      <c r="WJ58" s="4">
        <v>0</v>
      </c>
      <c r="WK58" s="4">
        <v>0</v>
      </c>
      <c r="WL58" s="4">
        <v>0</v>
      </c>
      <c r="WM58" s="4">
        <v>1</v>
      </c>
      <c r="WN58" s="4">
        <v>0</v>
      </c>
      <c r="WO58" s="4">
        <v>1</v>
      </c>
      <c r="WP58" s="4">
        <v>0</v>
      </c>
      <c r="WQ58" s="4">
        <v>0</v>
      </c>
      <c r="WR58" s="4">
        <v>0</v>
      </c>
      <c r="WS58" s="4">
        <v>0</v>
      </c>
      <c r="WT58" s="4">
        <v>1</v>
      </c>
      <c r="WU58" s="4">
        <v>0</v>
      </c>
      <c r="WV58" s="4">
        <v>0</v>
      </c>
      <c r="WW58" s="4">
        <v>0</v>
      </c>
      <c r="WX58" s="4">
        <v>0</v>
      </c>
      <c r="WY58" s="4">
        <v>0</v>
      </c>
      <c r="WZ58" s="4">
        <v>0</v>
      </c>
      <c r="XA58" s="4">
        <v>0</v>
      </c>
      <c r="XB58" s="4">
        <v>0</v>
      </c>
      <c r="XC58" s="4">
        <v>0</v>
      </c>
      <c r="XD58" s="4">
        <v>0</v>
      </c>
      <c r="XE58" s="4">
        <v>0</v>
      </c>
      <c r="XF58" s="4">
        <v>0</v>
      </c>
      <c r="XG58" s="4">
        <v>1</v>
      </c>
      <c r="XH58" s="4">
        <v>0</v>
      </c>
      <c r="XI58" s="4">
        <v>4</v>
      </c>
      <c r="XJ58" s="4">
        <v>0</v>
      </c>
      <c r="XK58" s="4">
        <v>0</v>
      </c>
      <c r="XL58" s="4">
        <v>0</v>
      </c>
      <c r="XM58" s="4">
        <v>0</v>
      </c>
      <c r="XN58" s="4">
        <v>0</v>
      </c>
      <c r="XO58" s="4">
        <v>0</v>
      </c>
      <c r="XP58" s="4">
        <v>0</v>
      </c>
      <c r="XQ58" s="4">
        <v>0</v>
      </c>
      <c r="XR58" s="4">
        <v>3</v>
      </c>
      <c r="XS58" s="4">
        <v>0</v>
      </c>
      <c r="XT58" s="4">
        <v>0</v>
      </c>
      <c r="XU58" s="4">
        <v>0</v>
      </c>
      <c r="XV58" s="4">
        <v>7</v>
      </c>
      <c r="XW58" s="4">
        <v>0</v>
      </c>
      <c r="XX58" s="4">
        <v>0</v>
      </c>
      <c r="XY58" s="4">
        <v>0</v>
      </c>
      <c r="XZ58" s="4">
        <v>0</v>
      </c>
      <c r="YA58" s="4">
        <v>0</v>
      </c>
      <c r="YB58" s="4">
        <v>0</v>
      </c>
      <c r="YC58" s="4">
        <v>0</v>
      </c>
      <c r="YD58" s="4">
        <v>0</v>
      </c>
      <c r="YE58" s="4">
        <v>0</v>
      </c>
      <c r="YF58" s="4">
        <v>0</v>
      </c>
      <c r="YG58" s="4">
        <v>0</v>
      </c>
      <c r="YH58" s="4">
        <v>0</v>
      </c>
      <c r="YI58" s="4">
        <v>0</v>
      </c>
      <c r="YJ58" s="4">
        <v>0</v>
      </c>
      <c r="YK58" s="4">
        <v>0</v>
      </c>
      <c r="YL58" s="4">
        <v>0</v>
      </c>
      <c r="YM58" s="4">
        <v>0</v>
      </c>
      <c r="YN58" s="4">
        <v>0</v>
      </c>
      <c r="YO58" s="4">
        <v>0</v>
      </c>
      <c r="YP58" s="4">
        <v>0</v>
      </c>
      <c r="YQ58" s="4">
        <v>0</v>
      </c>
      <c r="YR58" s="4">
        <v>0</v>
      </c>
      <c r="YS58" s="4">
        <v>0</v>
      </c>
      <c r="YT58" s="4">
        <v>0</v>
      </c>
      <c r="YU58" s="4">
        <v>0</v>
      </c>
      <c r="YV58" s="4">
        <v>0</v>
      </c>
      <c r="YW58" s="4">
        <v>0</v>
      </c>
      <c r="YX58" s="4">
        <v>0</v>
      </c>
      <c r="YY58" s="4">
        <v>0</v>
      </c>
      <c r="YZ58" s="4">
        <v>0</v>
      </c>
      <c r="ZA58" s="4">
        <v>0</v>
      </c>
      <c r="ZB58" s="4">
        <v>0</v>
      </c>
      <c r="ZC58" s="4">
        <v>0</v>
      </c>
      <c r="ZD58" s="4">
        <v>0</v>
      </c>
      <c r="ZE58" s="4">
        <v>0</v>
      </c>
      <c r="ZF58" s="4">
        <v>0</v>
      </c>
      <c r="ZG58" s="4">
        <v>0</v>
      </c>
      <c r="ZH58" s="4">
        <v>0</v>
      </c>
      <c r="ZI58" s="4">
        <v>0</v>
      </c>
      <c r="ZJ58" s="4">
        <v>0</v>
      </c>
      <c r="ZK58" s="4">
        <v>0</v>
      </c>
      <c r="ZL58" s="4">
        <v>0</v>
      </c>
      <c r="ZM58" s="4">
        <v>0</v>
      </c>
      <c r="ZN58" s="4">
        <v>0</v>
      </c>
      <c r="ZO58" s="4">
        <v>0</v>
      </c>
      <c r="ZP58" s="4">
        <v>0</v>
      </c>
      <c r="ZQ58" s="4">
        <v>0</v>
      </c>
      <c r="ZR58" s="4">
        <v>0</v>
      </c>
      <c r="ZS58" s="4">
        <v>0</v>
      </c>
      <c r="ZT58" s="4">
        <v>0</v>
      </c>
      <c r="ZU58" s="4">
        <v>0</v>
      </c>
      <c r="ZV58" s="4">
        <v>0</v>
      </c>
      <c r="ZW58" s="4">
        <v>0</v>
      </c>
      <c r="ZX58" s="4">
        <v>0</v>
      </c>
      <c r="ZY58" s="4">
        <v>0</v>
      </c>
      <c r="ZZ58" s="4">
        <v>0</v>
      </c>
      <c r="AAA58" s="4">
        <v>0</v>
      </c>
      <c r="AAB58" s="4">
        <v>0</v>
      </c>
      <c r="AAC58" s="4">
        <v>0</v>
      </c>
      <c r="AAD58" s="4">
        <v>0</v>
      </c>
      <c r="AAE58" s="4">
        <v>0</v>
      </c>
      <c r="AAF58" s="4">
        <v>0</v>
      </c>
      <c r="AAG58" s="4">
        <v>0</v>
      </c>
      <c r="AAH58" s="4">
        <v>0</v>
      </c>
      <c r="AAI58" s="4">
        <v>0</v>
      </c>
      <c r="AAJ58" s="4">
        <v>0</v>
      </c>
      <c r="AAK58" s="4">
        <v>0</v>
      </c>
      <c r="AAL58" s="4">
        <v>0</v>
      </c>
      <c r="AAM58" s="4">
        <v>0</v>
      </c>
      <c r="AAN58" s="4">
        <v>0</v>
      </c>
      <c r="AAO58" s="4">
        <v>0</v>
      </c>
      <c r="AAP58" s="4">
        <v>0</v>
      </c>
      <c r="AAQ58" s="4">
        <v>0</v>
      </c>
      <c r="AAR58" s="4">
        <v>0</v>
      </c>
      <c r="AAS58" s="4">
        <v>0</v>
      </c>
      <c r="AAT58" s="4">
        <v>0</v>
      </c>
      <c r="AAU58" s="4">
        <v>0</v>
      </c>
      <c r="AAV58" s="4">
        <v>0</v>
      </c>
      <c r="AAW58" s="4">
        <v>0</v>
      </c>
      <c r="AAX58" s="4">
        <v>0</v>
      </c>
      <c r="AAY58" s="4">
        <v>0</v>
      </c>
      <c r="AAZ58" s="4">
        <v>2</v>
      </c>
      <c r="ABA58" s="4">
        <v>0</v>
      </c>
      <c r="ABB58" s="4">
        <v>0</v>
      </c>
      <c r="ABC58" s="4">
        <v>0</v>
      </c>
      <c r="ABD58" s="4">
        <v>0</v>
      </c>
      <c r="ABE58" s="4">
        <v>0</v>
      </c>
      <c r="ABF58" s="4">
        <v>0</v>
      </c>
      <c r="ABG58" s="4">
        <v>0</v>
      </c>
      <c r="ABH58" s="4">
        <v>0</v>
      </c>
      <c r="ABI58" s="4">
        <v>0</v>
      </c>
      <c r="ABJ58" s="4">
        <v>0</v>
      </c>
      <c r="ABK58" s="4">
        <v>0</v>
      </c>
      <c r="ABL58" s="4">
        <v>0</v>
      </c>
      <c r="ABM58" s="4">
        <v>0</v>
      </c>
      <c r="ABN58" s="4">
        <v>0</v>
      </c>
      <c r="ABO58" s="4">
        <v>0</v>
      </c>
      <c r="ABP58" s="4">
        <v>0</v>
      </c>
      <c r="ABQ58" s="4">
        <v>0</v>
      </c>
      <c r="ABR58" s="4">
        <v>0</v>
      </c>
      <c r="ABS58" s="4">
        <v>0</v>
      </c>
      <c r="ABT58" s="4">
        <v>0</v>
      </c>
      <c r="ABU58" s="4">
        <v>0</v>
      </c>
      <c r="ABV58" s="4">
        <v>0</v>
      </c>
      <c r="ABW58" s="4">
        <v>0</v>
      </c>
      <c r="ABX58" s="4">
        <v>0</v>
      </c>
      <c r="ABY58" s="4">
        <v>0</v>
      </c>
      <c r="ABZ58" s="4">
        <v>0</v>
      </c>
      <c r="ACA58" s="4">
        <v>0</v>
      </c>
      <c r="ACB58" s="4">
        <v>0</v>
      </c>
      <c r="ACC58" s="4">
        <v>0</v>
      </c>
      <c r="ACD58" s="4">
        <v>0</v>
      </c>
      <c r="ACE58" s="4">
        <v>0</v>
      </c>
      <c r="ACF58" s="4">
        <v>0</v>
      </c>
      <c r="ACG58" s="4">
        <v>0</v>
      </c>
      <c r="ACH58" s="4">
        <v>0</v>
      </c>
      <c r="ACI58" s="4">
        <v>0</v>
      </c>
      <c r="ACJ58" s="4">
        <v>0</v>
      </c>
      <c r="ACK58" s="4">
        <v>0</v>
      </c>
      <c r="ACL58" s="4">
        <v>0</v>
      </c>
      <c r="ACM58" s="4">
        <v>0</v>
      </c>
      <c r="ACN58" s="4">
        <v>0</v>
      </c>
      <c r="ACO58" s="4">
        <v>0</v>
      </c>
      <c r="ACP58" s="4">
        <v>0</v>
      </c>
      <c r="ACQ58" s="4">
        <v>0</v>
      </c>
      <c r="ACR58" s="4">
        <v>0</v>
      </c>
      <c r="ACS58" s="4">
        <v>0</v>
      </c>
      <c r="ACT58" s="4">
        <v>0</v>
      </c>
      <c r="ACU58" s="4">
        <v>0</v>
      </c>
      <c r="ACV58" s="4">
        <v>0</v>
      </c>
      <c r="ACW58" s="4">
        <v>0</v>
      </c>
      <c r="ACX58" s="4">
        <v>0</v>
      </c>
      <c r="ACY58" s="4">
        <v>0</v>
      </c>
      <c r="ACZ58" s="4">
        <v>0</v>
      </c>
      <c r="ADA58" s="4">
        <v>0</v>
      </c>
      <c r="ADB58" s="4">
        <v>0</v>
      </c>
      <c r="ADC58" s="4">
        <v>0</v>
      </c>
      <c r="ADD58" s="4">
        <v>0</v>
      </c>
      <c r="ADE58" s="4">
        <v>0</v>
      </c>
      <c r="ADF58" s="4">
        <v>0</v>
      </c>
      <c r="ADG58" s="4">
        <v>0</v>
      </c>
      <c r="ADH58" s="4">
        <v>0</v>
      </c>
      <c r="ADI58" s="4">
        <v>0</v>
      </c>
      <c r="ADJ58" s="4">
        <v>0</v>
      </c>
      <c r="ADK58" s="4">
        <v>0</v>
      </c>
      <c r="ADL58" s="4">
        <v>0</v>
      </c>
      <c r="ADM58" s="4">
        <v>0</v>
      </c>
      <c r="ADN58" s="4">
        <v>0</v>
      </c>
      <c r="ADO58" s="4">
        <v>0</v>
      </c>
      <c r="ADP58" s="4">
        <v>0</v>
      </c>
      <c r="ADQ58" s="4">
        <v>0</v>
      </c>
      <c r="ADR58" s="4">
        <v>0</v>
      </c>
      <c r="ADS58" s="4">
        <v>0</v>
      </c>
      <c r="ADT58" s="4">
        <v>0</v>
      </c>
      <c r="ADU58" s="4">
        <v>0</v>
      </c>
      <c r="ADV58" s="4">
        <v>0</v>
      </c>
      <c r="ADW58" s="4">
        <v>0</v>
      </c>
      <c r="ADX58" s="4">
        <v>0</v>
      </c>
      <c r="ADY58" s="4">
        <v>0</v>
      </c>
      <c r="ADZ58" s="4">
        <v>0</v>
      </c>
      <c r="AEA58" s="4">
        <v>0</v>
      </c>
      <c r="AEB58" s="4">
        <v>0</v>
      </c>
      <c r="AEC58" s="4">
        <v>0</v>
      </c>
      <c r="AED58" s="4">
        <v>0</v>
      </c>
      <c r="AEE58" s="4">
        <v>0</v>
      </c>
      <c r="AEF58" s="4">
        <v>0</v>
      </c>
      <c r="AEG58" s="4">
        <v>0</v>
      </c>
      <c r="AEH58" s="4">
        <v>0</v>
      </c>
      <c r="AEI58" s="4">
        <v>0</v>
      </c>
      <c r="AEJ58" s="4">
        <v>0</v>
      </c>
      <c r="AEK58" s="4">
        <v>0</v>
      </c>
      <c r="AEL58" s="4">
        <v>0</v>
      </c>
      <c r="AEM58" s="4">
        <v>0</v>
      </c>
      <c r="AEN58" s="4">
        <v>0</v>
      </c>
      <c r="AEO58" s="4">
        <v>0</v>
      </c>
      <c r="AEP58" s="4">
        <v>0</v>
      </c>
      <c r="AEQ58" s="4">
        <v>0</v>
      </c>
      <c r="AER58" s="4">
        <v>0</v>
      </c>
      <c r="AES58" s="4">
        <v>0</v>
      </c>
      <c r="AET58" s="4">
        <v>0</v>
      </c>
      <c r="AEU58" s="4">
        <v>0</v>
      </c>
      <c r="AEV58" s="4">
        <v>0</v>
      </c>
      <c r="AEW58" s="4">
        <v>0</v>
      </c>
      <c r="AEX58" s="4">
        <v>0</v>
      </c>
      <c r="AEY58" s="4">
        <v>0</v>
      </c>
      <c r="AEZ58" s="4">
        <v>0</v>
      </c>
      <c r="AFA58" s="4">
        <v>0</v>
      </c>
      <c r="AFB58" s="4">
        <v>0</v>
      </c>
      <c r="AFC58" s="4">
        <v>0</v>
      </c>
      <c r="AFD58" s="4">
        <v>0</v>
      </c>
      <c r="AFE58" s="4">
        <v>0</v>
      </c>
      <c r="AFF58" s="4">
        <v>0</v>
      </c>
      <c r="AFG58" s="4">
        <v>0</v>
      </c>
      <c r="AFH58" s="4">
        <v>0</v>
      </c>
      <c r="AFI58" s="4">
        <v>0</v>
      </c>
      <c r="AFJ58" s="4">
        <v>0</v>
      </c>
      <c r="AFK58" s="4">
        <v>0</v>
      </c>
      <c r="AFL58" s="4">
        <v>0</v>
      </c>
      <c r="AFM58" s="4">
        <v>0</v>
      </c>
      <c r="AFN58" s="4">
        <v>2</v>
      </c>
      <c r="AFO58" s="4">
        <v>57</v>
      </c>
      <c r="AFP58" s="4">
        <v>18</v>
      </c>
      <c r="AFQ58" s="4">
        <v>17</v>
      </c>
      <c r="AFR58" s="4">
        <v>6</v>
      </c>
      <c r="AFS58" s="4">
        <v>0</v>
      </c>
      <c r="AFT58" s="4">
        <v>0</v>
      </c>
      <c r="AFU58" s="4">
        <v>13</v>
      </c>
      <c r="AFV58" s="4">
        <v>4</v>
      </c>
      <c r="AFW58" s="4">
        <v>1</v>
      </c>
      <c r="AFX58" s="4">
        <v>0</v>
      </c>
      <c r="AFY58" s="4">
        <v>380</v>
      </c>
      <c r="AFZ58" s="4">
        <v>431</v>
      </c>
      <c r="AGA58" s="4">
        <v>1</v>
      </c>
      <c r="AGB58" s="4">
        <v>46</v>
      </c>
      <c r="AGC58" s="4">
        <v>3</v>
      </c>
      <c r="AGD58" s="4" t="s">
        <v>1680</v>
      </c>
      <c r="AGE58" s="4">
        <v>10</v>
      </c>
      <c r="AGF58" s="4" t="s">
        <v>1680</v>
      </c>
      <c r="AGG58" s="4">
        <v>12</v>
      </c>
      <c r="AGH58" s="4">
        <v>20</v>
      </c>
      <c r="AGI58" s="4">
        <v>4</v>
      </c>
      <c r="AGJ58" s="4">
        <v>0</v>
      </c>
      <c r="AGK58" s="4">
        <v>0</v>
      </c>
      <c r="AGL58" s="4">
        <v>0</v>
      </c>
      <c r="AGM58" s="4">
        <v>0</v>
      </c>
      <c r="AGN58" s="4">
        <v>0</v>
      </c>
      <c r="AGO58" s="4">
        <v>0</v>
      </c>
      <c r="AGP58" s="4">
        <v>0</v>
      </c>
      <c r="AGQ58" s="4">
        <v>0</v>
      </c>
      <c r="AGR58" s="4">
        <v>1.06</v>
      </c>
      <c r="AGS58" s="4">
        <v>0</v>
      </c>
      <c r="AGT58" s="4">
        <v>0</v>
      </c>
      <c r="AGU58" s="4">
        <v>0</v>
      </c>
      <c r="AGV58" s="4">
        <v>0</v>
      </c>
      <c r="AGW58" s="4">
        <v>0</v>
      </c>
      <c r="AGX58" s="4">
        <v>0</v>
      </c>
      <c r="AGY58" s="4">
        <v>0</v>
      </c>
      <c r="AGZ58" s="4">
        <v>0</v>
      </c>
      <c r="AHA58" s="4">
        <v>6</v>
      </c>
      <c r="AHB58" s="4">
        <v>1</v>
      </c>
      <c r="AHC58" s="4">
        <v>0</v>
      </c>
      <c r="AHD58" s="4">
        <v>0</v>
      </c>
      <c r="AHE58" s="4">
        <v>0</v>
      </c>
      <c r="AHF58" s="4">
        <v>0</v>
      </c>
      <c r="AHG58" s="4">
        <v>0</v>
      </c>
      <c r="AHH58" s="4">
        <v>0</v>
      </c>
      <c r="AHI58" s="4">
        <v>0</v>
      </c>
      <c r="AHJ58" s="4">
        <v>0</v>
      </c>
      <c r="AHK58" s="4">
        <v>0</v>
      </c>
      <c r="AHL58" s="4">
        <v>0</v>
      </c>
      <c r="AHM58" s="4">
        <v>0</v>
      </c>
      <c r="AHN58" s="4">
        <v>0</v>
      </c>
      <c r="AHO58" s="4">
        <v>0</v>
      </c>
      <c r="AHP58" s="4">
        <v>0</v>
      </c>
      <c r="AHQ58" s="4">
        <v>0</v>
      </c>
      <c r="AHR58" s="4">
        <v>0</v>
      </c>
      <c r="AHS58" s="4">
        <v>0</v>
      </c>
      <c r="AHT58" s="4">
        <v>0</v>
      </c>
      <c r="AHU58" s="4">
        <v>0</v>
      </c>
      <c r="AHV58" s="4">
        <v>0</v>
      </c>
      <c r="AHW58" s="4">
        <v>0</v>
      </c>
      <c r="AHX58" s="4">
        <v>0</v>
      </c>
      <c r="AHY58" s="4">
        <v>0</v>
      </c>
      <c r="AHZ58" s="4">
        <v>0</v>
      </c>
      <c r="AIA58" s="4">
        <v>0</v>
      </c>
      <c r="AIB58" s="4">
        <v>0</v>
      </c>
      <c r="AIC58" s="4">
        <v>0</v>
      </c>
      <c r="AID58" s="4">
        <v>0</v>
      </c>
      <c r="AIE58" s="4">
        <v>0</v>
      </c>
      <c r="AIF58" s="4">
        <v>0</v>
      </c>
      <c r="AIG58" s="4">
        <v>0</v>
      </c>
      <c r="AIH58" s="4">
        <v>0</v>
      </c>
      <c r="AII58" s="4">
        <v>0</v>
      </c>
      <c r="AIJ58" s="4">
        <v>0</v>
      </c>
      <c r="AIK58" s="4">
        <v>0</v>
      </c>
      <c r="AIL58" s="4">
        <v>0</v>
      </c>
      <c r="AIM58" s="4">
        <v>0</v>
      </c>
      <c r="AIN58" s="4">
        <v>0</v>
      </c>
      <c r="AIO58" s="4">
        <v>0</v>
      </c>
      <c r="AIP58" s="4">
        <v>0</v>
      </c>
      <c r="AIQ58" s="4">
        <v>0</v>
      </c>
      <c r="AIR58" s="4">
        <v>0</v>
      </c>
      <c r="AIS58" s="4">
        <v>0</v>
      </c>
      <c r="AIT58" s="4">
        <v>0</v>
      </c>
      <c r="AIU58" s="4">
        <v>0</v>
      </c>
      <c r="AIV58" s="4">
        <v>1</v>
      </c>
      <c r="AIW58" s="4">
        <v>0</v>
      </c>
      <c r="AIX58" s="4">
        <v>0</v>
      </c>
      <c r="AIY58" s="4">
        <v>0</v>
      </c>
      <c r="AIZ58" s="4">
        <v>0</v>
      </c>
      <c r="AJA58" s="4">
        <v>0</v>
      </c>
      <c r="AJB58" s="4">
        <v>0</v>
      </c>
      <c r="AJC58" s="4">
        <v>3</v>
      </c>
      <c r="AJD58" s="4">
        <v>0</v>
      </c>
      <c r="AJE58" s="4">
        <v>0</v>
      </c>
      <c r="AJF58" s="4">
        <v>0</v>
      </c>
      <c r="AJG58" s="4">
        <v>0</v>
      </c>
      <c r="AJH58" s="4">
        <v>0</v>
      </c>
      <c r="AJI58" s="4">
        <v>0</v>
      </c>
      <c r="AJJ58" s="4">
        <v>0</v>
      </c>
      <c r="AJK58" s="4">
        <v>0</v>
      </c>
      <c r="AJL58" s="4">
        <v>0</v>
      </c>
      <c r="AJM58" s="4">
        <v>0</v>
      </c>
      <c r="AJN58" s="4">
        <v>0</v>
      </c>
      <c r="AJO58" s="4">
        <v>0</v>
      </c>
      <c r="AJP58" s="4">
        <v>0</v>
      </c>
      <c r="AJQ58" s="4">
        <v>0</v>
      </c>
      <c r="AJR58" s="4">
        <v>0</v>
      </c>
      <c r="AJS58" s="4">
        <v>0</v>
      </c>
      <c r="AJT58" s="4">
        <v>0</v>
      </c>
      <c r="AJU58" s="4">
        <v>0</v>
      </c>
      <c r="AJV58" s="4">
        <v>0</v>
      </c>
      <c r="AJW58" s="4">
        <v>0</v>
      </c>
      <c r="AJX58" s="4">
        <v>0</v>
      </c>
      <c r="AJY58" s="4">
        <v>0</v>
      </c>
      <c r="AJZ58" s="4">
        <v>0</v>
      </c>
      <c r="AKA58" s="4">
        <v>0</v>
      </c>
      <c r="AKB58" s="4">
        <v>0</v>
      </c>
      <c r="AKC58" s="4">
        <v>0</v>
      </c>
      <c r="AKD58" s="4">
        <v>0</v>
      </c>
      <c r="AKE58" s="4">
        <v>0</v>
      </c>
      <c r="AKF58" s="4">
        <v>0</v>
      </c>
      <c r="AKG58" s="4">
        <v>0</v>
      </c>
      <c r="AKH58" s="4">
        <v>0</v>
      </c>
      <c r="AKI58" s="4">
        <v>0</v>
      </c>
      <c r="AKJ58" s="4">
        <v>0</v>
      </c>
      <c r="AKK58" s="4">
        <v>0</v>
      </c>
      <c r="AKL58" s="4">
        <v>0</v>
      </c>
      <c r="AKM58" s="4">
        <v>2</v>
      </c>
      <c r="AKN58" s="4">
        <v>0</v>
      </c>
      <c r="AKO58" s="4">
        <v>0</v>
      </c>
      <c r="AKP58" s="4">
        <v>0</v>
      </c>
      <c r="AKQ58" s="4">
        <v>0</v>
      </c>
      <c r="AKR58" s="4">
        <v>0</v>
      </c>
      <c r="AKS58" s="4">
        <v>4</v>
      </c>
      <c r="AKT58" s="4">
        <v>0</v>
      </c>
      <c r="AKU58" s="4">
        <v>0</v>
      </c>
      <c r="AKV58" s="4">
        <v>0</v>
      </c>
      <c r="AKW58" s="4">
        <v>0</v>
      </c>
      <c r="AKX58" s="4">
        <v>0</v>
      </c>
      <c r="AKY58" s="4">
        <v>0</v>
      </c>
      <c r="AKZ58" s="4">
        <v>1</v>
      </c>
      <c r="ALA58" s="4">
        <v>0</v>
      </c>
      <c r="ALB58" s="4">
        <v>0</v>
      </c>
      <c r="ALC58" s="4">
        <v>0</v>
      </c>
      <c r="ALD58" s="4">
        <v>0</v>
      </c>
      <c r="ALE58" s="4">
        <v>4</v>
      </c>
      <c r="ALF58" s="4">
        <v>0</v>
      </c>
      <c r="ALG58" s="4">
        <v>3</v>
      </c>
      <c r="ALH58" s="4">
        <v>0</v>
      </c>
      <c r="ALI58" s="4">
        <v>0</v>
      </c>
      <c r="ALJ58" s="4">
        <v>0</v>
      </c>
      <c r="ALK58" s="4">
        <v>0</v>
      </c>
      <c r="ALL58" s="4">
        <v>0</v>
      </c>
      <c r="ALM58" s="4">
        <v>0</v>
      </c>
      <c r="ALN58" s="4">
        <v>0</v>
      </c>
      <c r="ALO58" s="4">
        <v>0</v>
      </c>
      <c r="ALP58" s="4">
        <v>0</v>
      </c>
      <c r="ALQ58" s="4">
        <v>0</v>
      </c>
      <c r="ALR58" s="4">
        <v>8</v>
      </c>
      <c r="ALS58" s="4">
        <v>0</v>
      </c>
      <c r="ALT58" s="4">
        <v>0</v>
      </c>
      <c r="ALU58" s="4">
        <v>0</v>
      </c>
      <c r="ALV58" s="4">
        <v>0</v>
      </c>
      <c r="ALW58" s="4">
        <v>0</v>
      </c>
      <c r="ALX58" s="4">
        <v>0</v>
      </c>
      <c r="ALY58" s="4">
        <v>0</v>
      </c>
      <c r="ALZ58" s="4">
        <v>0</v>
      </c>
      <c r="AMA58" s="4">
        <v>0</v>
      </c>
      <c r="AMB58" s="4">
        <v>0</v>
      </c>
      <c r="AMC58" s="4">
        <v>0</v>
      </c>
      <c r="AMD58" s="4">
        <v>0</v>
      </c>
      <c r="AME58" s="4">
        <v>0</v>
      </c>
      <c r="AMF58" s="4">
        <v>0</v>
      </c>
      <c r="AMG58" s="4">
        <v>0</v>
      </c>
      <c r="AMH58" s="4">
        <v>0</v>
      </c>
      <c r="AMI58" s="4">
        <v>0</v>
      </c>
      <c r="AMJ58" s="4">
        <v>0</v>
      </c>
      <c r="AMK58" s="4">
        <v>0</v>
      </c>
      <c r="AML58" s="4">
        <v>0</v>
      </c>
      <c r="AMM58" s="4">
        <v>0</v>
      </c>
      <c r="AMN58" s="4">
        <v>0</v>
      </c>
      <c r="AMO58" s="4">
        <v>0</v>
      </c>
      <c r="AMP58" s="4">
        <v>0</v>
      </c>
      <c r="AMQ58" s="4">
        <v>0</v>
      </c>
      <c r="AMR58" s="4">
        <v>0</v>
      </c>
      <c r="AMS58" s="4">
        <v>0</v>
      </c>
      <c r="AMT58" s="4">
        <v>0</v>
      </c>
      <c r="AMU58" s="4">
        <v>0</v>
      </c>
      <c r="AMV58" s="4">
        <v>0</v>
      </c>
      <c r="AMW58" s="4">
        <v>0</v>
      </c>
      <c r="AMX58" s="4">
        <v>0</v>
      </c>
      <c r="AMY58" s="4">
        <v>0</v>
      </c>
      <c r="AMZ58" s="4">
        <v>0</v>
      </c>
      <c r="ANA58" s="4">
        <v>0</v>
      </c>
      <c r="ANB58" s="4">
        <v>0</v>
      </c>
      <c r="ANC58" s="4">
        <v>0</v>
      </c>
      <c r="AND58" s="4">
        <v>0</v>
      </c>
      <c r="ANE58" s="4">
        <v>0</v>
      </c>
      <c r="ANF58" s="4">
        <v>0</v>
      </c>
      <c r="ANG58" s="4">
        <v>0</v>
      </c>
      <c r="ANH58" s="4">
        <v>2</v>
      </c>
      <c r="ANI58" s="4">
        <v>0</v>
      </c>
      <c r="ANJ58" s="4">
        <v>0</v>
      </c>
      <c r="ANK58" s="4">
        <v>0</v>
      </c>
      <c r="ANL58" s="4">
        <v>0</v>
      </c>
      <c r="ANM58" s="4">
        <v>0</v>
      </c>
      <c r="ANN58" s="4">
        <v>0</v>
      </c>
      <c r="ANO58" s="4">
        <v>0</v>
      </c>
      <c r="ANP58" s="4">
        <v>0</v>
      </c>
      <c r="ANQ58" s="4">
        <v>0</v>
      </c>
      <c r="ANR58" s="4">
        <v>0</v>
      </c>
      <c r="ANS58" s="4">
        <v>0</v>
      </c>
      <c r="ANT58" s="4">
        <v>0</v>
      </c>
      <c r="ANU58" s="4">
        <v>8</v>
      </c>
      <c r="ANV58" s="4">
        <v>0</v>
      </c>
      <c r="ANW58" s="4">
        <v>0</v>
      </c>
      <c r="ANX58" s="4">
        <v>1</v>
      </c>
      <c r="ANY58" s="4">
        <v>0</v>
      </c>
      <c r="ANZ58" s="4">
        <v>0</v>
      </c>
      <c r="AOA58" s="4">
        <v>0</v>
      </c>
      <c r="AOB58" s="4">
        <v>0</v>
      </c>
      <c r="AOC58" s="4">
        <v>0</v>
      </c>
      <c r="AOD58" s="4">
        <v>0</v>
      </c>
      <c r="AOE58" s="4">
        <v>0</v>
      </c>
      <c r="AOF58" s="4">
        <v>0</v>
      </c>
      <c r="AOG58" s="4">
        <v>0</v>
      </c>
      <c r="AOH58" s="4">
        <v>0</v>
      </c>
      <c r="AOI58" s="4">
        <v>0</v>
      </c>
      <c r="AOJ58" s="4">
        <v>0</v>
      </c>
      <c r="AOK58" s="4">
        <v>0</v>
      </c>
      <c r="AOL58" s="4">
        <v>0</v>
      </c>
      <c r="AOM58" s="4">
        <v>0</v>
      </c>
      <c r="AON58" s="4">
        <v>0</v>
      </c>
      <c r="AOO58" s="4">
        <v>0</v>
      </c>
      <c r="AOP58" s="4">
        <v>0</v>
      </c>
      <c r="AOQ58" s="4">
        <v>0</v>
      </c>
      <c r="AOR58" s="4">
        <v>0</v>
      </c>
      <c r="AOS58" s="4">
        <v>0</v>
      </c>
      <c r="AOT58" s="4">
        <v>0</v>
      </c>
      <c r="AOU58" s="4">
        <v>0</v>
      </c>
      <c r="AOV58" s="4">
        <v>0</v>
      </c>
      <c r="AOW58" s="4">
        <v>0</v>
      </c>
      <c r="AOX58" s="4">
        <v>0</v>
      </c>
      <c r="AOY58" s="4">
        <v>0</v>
      </c>
      <c r="AOZ58" s="4">
        <v>0</v>
      </c>
      <c r="APA58" s="4">
        <v>0</v>
      </c>
      <c r="APB58" s="4">
        <v>0</v>
      </c>
      <c r="APC58" s="4">
        <v>0</v>
      </c>
      <c r="APD58" s="4">
        <v>1</v>
      </c>
      <c r="APE58" s="4">
        <v>0</v>
      </c>
      <c r="APF58" s="4">
        <v>0</v>
      </c>
      <c r="APG58" s="4">
        <v>0</v>
      </c>
      <c r="APH58" s="4">
        <v>0</v>
      </c>
      <c r="API58" s="4">
        <v>0</v>
      </c>
      <c r="APJ58" s="4">
        <v>0</v>
      </c>
      <c r="APK58" s="4">
        <v>0</v>
      </c>
      <c r="APL58" s="4">
        <v>0</v>
      </c>
      <c r="APM58" s="4">
        <v>0</v>
      </c>
      <c r="APN58" s="4">
        <v>0</v>
      </c>
      <c r="APO58" s="4">
        <v>0</v>
      </c>
      <c r="APP58" s="4">
        <v>0</v>
      </c>
      <c r="APQ58" s="4">
        <v>0</v>
      </c>
      <c r="APR58" s="4">
        <v>0</v>
      </c>
      <c r="APS58" s="4">
        <v>0</v>
      </c>
      <c r="APT58" s="4">
        <v>0</v>
      </c>
      <c r="APU58" s="4">
        <v>0</v>
      </c>
      <c r="APV58" s="4">
        <v>0</v>
      </c>
      <c r="APW58" s="4">
        <v>0</v>
      </c>
      <c r="APX58" s="4">
        <v>0</v>
      </c>
      <c r="APY58" s="4">
        <v>0</v>
      </c>
      <c r="APZ58" s="4">
        <v>0</v>
      </c>
      <c r="AQA58" s="4">
        <v>0</v>
      </c>
      <c r="AQB58" s="4">
        <v>0</v>
      </c>
      <c r="AQC58" s="4">
        <v>0</v>
      </c>
      <c r="AQD58" s="4">
        <v>0</v>
      </c>
      <c r="AQE58" s="4">
        <v>0</v>
      </c>
      <c r="AQF58" s="4">
        <v>0</v>
      </c>
      <c r="AQG58" s="4">
        <v>0</v>
      </c>
      <c r="AQH58" s="4">
        <v>0</v>
      </c>
      <c r="AQI58" s="4">
        <v>0</v>
      </c>
      <c r="AQJ58" s="4">
        <v>0</v>
      </c>
      <c r="AQK58" s="4">
        <v>0</v>
      </c>
      <c r="AQL58" s="4">
        <v>0</v>
      </c>
      <c r="AQM58" s="4">
        <v>0</v>
      </c>
      <c r="AQN58" s="4">
        <v>0</v>
      </c>
      <c r="AQO58" s="4">
        <v>0</v>
      </c>
      <c r="AQP58" s="4">
        <v>0</v>
      </c>
      <c r="AQQ58" s="4">
        <v>0</v>
      </c>
      <c r="AQR58" s="4">
        <v>0</v>
      </c>
      <c r="AQS58" s="4">
        <v>0</v>
      </c>
      <c r="AQT58" s="4">
        <v>0</v>
      </c>
      <c r="AQU58" s="4">
        <v>0</v>
      </c>
      <c r="AQV58" s="4">
        <v>0</v>
      </c>
      <c r="AQW58" s="4">
        <v>0</v>
      </c>
      <c r="AQX58" s="4">
        <v>0</v>
      </c>
      <c r="AQY58" s="4">
        <v>1</v>
      </c>
      <c r="AQZ58" s="4">
        <v>0</v>
      </c>
      <c r="ARA58" s="4">
        <v>0</v>
      </c>
      <c r="ARB58" s="4">
        <v>0</v>
      </c>
      <c r="ARC58" s="4">
        <v>0</v>
      </c>
      <c r="ARD58" s="4">
        <v>0</v>
      </c>
      <c r="ARE58" s="4">
        <v>0</v>
      </c>
      <c r="ARF58" s="4">
        <v>0</v>
      </c>
      <c r="ARG58" s="4">
        <v>0</v>
      </c>
      <c r="ARH58" s="4">
        <v>0</v>
      </c>
      <c r="ARI58" s="4">
        <v>0</v>
      </c>
      <c r="ARJ58" s="4">
        <v>0</v>
      </c>
      <c r="ARK58" s="4">
        <v>0</v>
      </c>
      <c r="ARL58" s="4">
        <v>0</v>
      </c>
      <c r="ARM58" s="4">
        <v>0</v>
      </c>
      <c r="ARN58" s="4">
        <v>0</v>
      </c>
      <c r="ARO58" s="4">
        <v>0</v>
      </c>
      <c r="ARP58" s="4">
        <v>0</v>
      </c>
      <c r="ARQ58" s="4">
        <v>0</v>
      </c>
      <c r="ARR58" s="4">
        <v>0</v>
      </c>
      <c r="ARS58" s="4">
        <v>0</v>
      </c>
      <c r="ART58" s="4">
        <v>0</v>
      </c>
      <c r="ARU58" s="4">
        <v>0</v>
      </c>
      <c r="ARV58" s="4">
        <v>0</v>
      </c>
      <c r="ARW58" s="4">
        <v>0</v>
      </c>
      <c r="ARX58" s="4">
        <v>0</v>
      </c>
      <c r="ARY58" s="4">
        <v>0</v>
      </c>
      <c r="ARZ58" s="4">
        <v>0</v>
      </c>
      <c r="ASA58" s="4">
        <v>0</v>
      </c>
      <c r="ASB58" s="4">
        <v>0</v>
      </c>
      <c r="ASC58" s="4">
        <v>0</v>
      </c>
      <c r="ASD58" s="4">
        <v>0</v>
      </c>
      <c r="ASE58" s="4">
        <v>0</v>
      </c>
      <c r="ASF58" s="4">
        <v>0</v>
      </c>
      <c r="ASG58" s="4">
        <v>0</v>
      </c>
      <c r="ASH58" s="4">
        <v>0</v>
      </c>
      <c r="ASI58" s="4">
        <v>0</v>
      </c>
      <c r="ASJ58" s="4">
        <v>0</v>
      </c>
      <c r="ASK58" s="4">
        <v>0</v>
      </c>
      <c r="ASL58" s="4">
        <v>0</v>
      </c>
      <c r="ASM58" s="4">
        <v>0</v>
      </c>
      <c r="ASN58" s="4">
        <v>0</v>
      </c>
      <c r="ASO58" s="4">
        <v>0</v>
      </c>
      <c r="ASP58" s="4">
        <v>0</v>
      </c>
      <c r="ASQ58" s="4">
        <v>0</v>
      </c>
      <c r="ASR58" s="4">
        <v>0</v>
      </c>
      <c r="ASS58" s="4">
        <v>0</v>
      </c>
      <c r="AST58" s="4">
        <v>0</v>
      </c>
      <c r="ASU58" s="4">
        <v>0</v>
      </c>
      <c r="ASV58" s="4">
        <v>0</v>
      </c>
      <c r="ASW58" s="4">
        <v>0</v>
      </c>
      <c r="ASX58" s="4">
        <v>0</v>
      </c>
      <c r="ASY58" s="4">
        <v>0</v>
      </c>
      <c r="ASZ58" s="4">
        <v>0</v>
      </c>
      <c r="ATA58" s="4">
        <v>0</v>
      </c>
      <c r="ATB58" s="4">
        <v>0</v>
      </c>
      <c r="ATC58" s="4">
        <v>0</v>
      </c>
      <c r="ATD58" s="4">
        <v>0</v>
      </c>
      <c r="ATE58" s="4">
        <v>0</v>
      </c>
      <c r="ATF58" s="4">
        <v>0</v>
      </c>
      <c r="ATG58" s="4">
        <v>0</v>
      </c>
      <c r="ATH58" s="4">
        <v>0</v>
      </c>
      <c r="ATI58" s="4">
        <v>0</v>
      </c>
      <c r="ATJ58" s="4">
        <v>0</v>
      </c>
      <c r="ATK58" s="4">
        <v>0</v>
      </c>
      <c r="ATL58" s="4">
        <v>0</v>
      </c>
      <c r="ATM58" s="4">
        <v>0</v>
      </c>
      <c r="ATN58" s="4">
        <v>0</v>
      </c>
      <c r="ATO58" s="4">
        <v>0</v>
      </c>
      <c r="ATP58" s="4">
        <v>0</v>
      </c>
      <c r="ATQ58" s="4">
        <v>0</v>
      </c>
      <c r="ATR58" s="4">
        <v>0</v>
      </c>
      <c r="ATS58" s="4">
        <v>0</v>
      </c>
      <c r="ATT58" s="4">
        <v>0</v>
      </c>
      <c r="ATU58" s="4">
        <v>0</v>
      </c>
      <c r="ATV58" s="4">
        <v>0</v>
      </c>
      <c r="ATW58" s="4">
        <v>0</v>
      </c>
      <c r="ATX58" s="4">
        <v>0</v>
      </c>
      <c r="ATY58" s="4">
        <v>0</v>
      </c>
      <c r="ATZ58" s="4">
        <v>0</v>
      </c>
      <c r="AUA58" s="4">
        <v>0</v>
      </c>
      <c r="AUB58" s="4">
        <v>0</v>
      </c>
      <c r="AUC58" s="4">
        <v>0</v>
      </c>
      <c r="AUD58" s="4">
        <v>0</v>
      </c>
      <c r="AUE58" s="4">
        <v>0</v>
      </c>
      <c r="AUF58" s="4">
        <v>0</v>
      </c>
      <c r="AUG58" s="4">
        <v>0</v>
      </c>
      <c r="AUH58" s="4">
        <v>0</v>
      </c>
      <c r="AUI58" s="4">
        <v>0</v>
      </c>
      <c r="AUJ58" s="4">
        <v>0</v>
      </c>
      <c r="AUK58" s="4">
        <v>0</v>
      </c>
      <c r="AUL58" s="4">
        <v>0</v>
      </c>
      <c r="AUM58" s="4">
        <v>0</v>
      </c>
      <c r="AUN58" s="4">
        <v>0</v>
      </c>
      <c r="AUO58" s="4">
        <v>0</v>
      </c>
      <c r="AUP58" s="4">
        <v>0</v>
      </c>
      <c r="AUQ58" s="4">
        <v>0</v>
      </c>
      <c r="AUR58" s="4">
        <v>0</v>
      </c>
      <c r="AUS58" s="4">
        <v>0</v>
      </c>
      <c r="AUT58" s="4">
        <v>0</v>
      </c>
      <c r="AUU58" s="4">
        <v>0</v>
      </c>
      <c r="AUV58" s="4">
        <v>0</v>
      </c>
      <c r="AUW58" s="4">
        <v>0</v>
      </c>
      <c r="AUX58" s="4">
        <v>0</v>
      </c>
      <c r="AUY58" s="4">
        <v>0</v>
      </c>
      <c r="AUZ58" s="4">
        <v>0</v>
      </c>
      <c r="AVA58" s="4">
        <v>0</v>
      </c>
      <c r="AVB58" s="4">
        <v>0</v>
      </c>
      <c r="AVC58" s="4">
        <v>0</v>
      </c>
      <c r="AVD58" s="4">
        <v>0</v>
      </c>
      <c r="AVE58" s="4">
        <v>0</v>
      </c>
      <c r="AVF58" s="4">
        <v>0</v>
      </c>
      <c r="AVG58" s="4">
        <v>0</v>
      </c>
      <c r="AVH58" s="4">
        <v>0</v>
      </c>
      <c r="AVI58" s="4">
        <v>0</v>
      </c>
      <c r="AVJ58" s="4">
        <v>0</v>
      </c>
      <c r="AVK58" s="4">
        <v>0</v>
      </c>
      <c r="AVL58" s="4">
        <v>0</v>
      </c>
      <c r="AVM58" s="4">
        <v>2</v>
      </c>
      <c r="AVN58" s="4">
        <v>82</v>
      </c>
      <c r="AVO58" s="4">
        <v>18</v>
      </c>
      <c r="AVP58" s="4">
        <v>12</v>
      </c>
      <c r="AVQ58" s="4">
        <v>10</v>
      </c>
      <c r="AVR58" s="4">
        <v>0</v>
      </c>
      <c r="AVS58" s="4">
        <v>0</v>
      </c>
      <c r="AVT58" s="4">
        <v>13</v>
      </c>
      <c r="AVU58" s="4">
        <v>2</v>
      </c>
      <c r="AVV58" s="4">
        <v>3</v>
      </c>
      <c r="AVW58" s="4">
        <v>0</v>
      </c>
      <c r="AVX58" s="4">
        <v>395</v>
      </c>
      <c r="AVY58" s="4">
        <v>431</v>
      </c>
      <c r="AVZ58" s="4">
        <v>1</v>
      </c>
      <c r="AWA58" s="4">
        <v>51</v>
      </c>
      <c r="AWB58" s="4">
        <v>4</v>
      </c>
      <c r="AWC58" s="4" t="s">
        <v>1676</v>
      </c>
      <c r="AWD58" s="4">
        <v>11</v>
      </c>
      <c r="AWE58" s="4" t="s">
        <v>1680</v>
      </c>
      <c r="AWF58" s="4">
        <v>7</v>
      </c>
      <c r="AWG58" s="4">
        <v>115</v>
      </c>
      <c r="AWH58" s="4">
        <v>5</v>
      </c>
      <c r="AWI58" s="4">
        <v>0</v>
      </c>
      <c r="AWJ58" s="4">
        <v>0</v>
      </c>
      <c r="AWK58" s="4">
        <v>0</v>
      </c>
      <c r="AWL58" s="4">
        <v>0</v>
      </c>
      <c r="AWM58" s="4">
        <v>0</v>
      </c>
      <c r="AWN58" s="4">
        <v>0</v>
      </c>
      <c r="AWO58" s="4">
        <v>0</v>
      </c>
      <c r="AWP58" s="4">
        <v>0</v>
      </c>
      <c r="AWQ58" s="4">
        <v>1.5</v>
      </c>
      <c r="AWR58" s="4">
        <v>0</v>
      </c>
      <c r="AWS58" s="4">
        <v>0</v>
      </c>
      <c r="AWT58" s="4">
        <v>0</v>
      </c>
      <c r="AWU58" s="4">
        <v>0</v>
      </c>
      <c r="AWV58" s="4">
        <v>0</v>
      </c>
      <c r="AWW58" s="4">
        <v>0</v>
      </c>
      <c r="AWX58" s="4">
        <v>0</v>
      </c>
      <c r="AWY58" s="4">
        <v>0</v>
      </c>
      <c r="AWZ58" s="4">
        <v>10</v>
      </c>
      <c r="AXA58" s="4">
        <v>2</v>
      </c>
      <c r="AXB58" s="4">
        <v>0</v>
      </c>
      <c r="AXC58" s="4">
        <v>0</v>
      </c>
      <c r="AXD58" s="4">
        <v>0</v>
      </c>
      <c r="AXE58" s="4">
        <v>0</v>
      </c>
      <c r="AXF58" s="4">
        <v>0</v>
      </c>
      <c r="AXG58" s="4">
        <v>0</v>
      </c>
      <c r="AXH58" s="4">
        <v>0</v>
      </c>
      <c r="AXI58" s="4">
        <v>0</v>
      </c>
      <c r="AXJ58" s="4">
        <v>0</v>
      </c>
      <c r="AXK58" s="4">
        <v>0</v>
      </c>
      <c r="AXL58" s="4">
        <v>0</v>
      </c>
      <c r="AXM58" s="4">
        <v>0</v>
      </c>
      <c r="AXN58" s="4">
        <v>0</v>
      </c>
      <c r="AXO58" s="4">
        <v>0</v>
      </c>
      <c r="AXP58" s="4">
        <v>0</v>
      </c>
      <c r="AXQ58" s="4">
        <v>0</v>
      </c>
      <c r="AXR58" s="4">
        <v>0</v>
      </c>
      <c r="AXS58" s="4">
        <v>0</v>
      </c>
      <c r="AXT58" s="4">
        <v>0</v>
      </c>
      <c r="AXU58" s="4">
        <v>1</v>
      </c>
      <c r="AXV58" s="4">
        <v>0</v>
      </c>
      <c r="AXW58" s="4">
        <v>0</v>
      </c>
      <c r="AXX58" s="4">
        <v>0</v>
      </c>
      <c r="AXY58" s="4">
        <v>0</v>
      </c>
      <c r="AXZ58" s="4">
        <v>0</v>
      </c>
      <c r="AYA58" s="4">
        <v>0</v>
      </c>
      <c r="AYB58" s="4">
        <v>0</v>
      </c>
      <c r="AYC58" s="4">
        <v>0</v>
      </c>
      <c r="AYD58" s="4">
        <v>0</v>
      </c>
      <c r="AYE58" s="4">
        <v>0</v>
      </c>
      <c r="AYF58" s="4">
        <v>0</v>
      </c>
      <c r="AYG58" s="4">
        <v>0</v>
      </c>
      <c r="AYH58" s="4">
        <v>0</v>
      </c>
      <c r="AYI58" s="4">
        <v>0</v>
      </c>
      <c r="AYJ58" s="4">
        <v>0</v>
      </c>
      <c r="AYK58" s="4">
        <v>0</v>
      </c>
      <c r="AYL58" s="4">
        <v>0</v>
      </c>
      <c r="AYM58" s="4">
        <v>0</v>
      </c>
      <c r="AYN58" s="4">
        <v>0</v>
      </c>
      <c r="AYO58" s="4">
        <v>0</v>
      </c>
      <c r="AYP58" s="4">
        <v>0</v>
      </c>
      <c r="AYQ58" s="4">
        <v>0</v>
      </c>
      <c r="AYR58" s="4">
        <v>0</v>
      </c>
      <c r="AYS58" s="4">
        <v>0</v>
      </c>
      <c r="AYT58" s="4">
        <v>3</v>
      </c>
      <c r="AYU58" s="4">
        <v>0</v>
      </c>
      <c r="AYV58" s="4">
        <v>0</v>
      </c>
      <c r="AYW58" s="4">
        <v>0</v>
      </c>
      <c r="AYX58" s="4">
        <v>0</v>
      </c>
      <c r="AYY58" s="4">
        <v>0</v>
      </c>
      <c r="AYZ58" s="4">
        <v>0</v>
      </c>
      <c r="AZA58" s="4">
        <v>0</v>
      </c>
      <c r="AZB58" s="4">
        <v>3</v>
      </c>
      <c r="AZC58" s="4">
        <v>0</v>
      </c>
      <c r="AZD58" s="4">
        <v>0</v>
      </c>
      <c r="AZE58" s="4">
        <v>0</v>
      </c>
      <c r="AZF58" s="4">
        <v>0</v>
      </c>
      <c r="AZG58" s="4">
        <v>0</v>
      </c>
      <c r="AZH58" s="4">
        <v>0</v>
      </c>
      <c r="AZI58" s="4">
        <v>0</v>
      </c>
      <c r="AZJ58" s="4">
        <v>0</v>
      </c>
      <c r="AZK58" s="4">
        <v>0</v>
      </c>
      <c r="AZL58" s="4">
        <v>0</v>
      </c>
      <c r="AZM58" s="4">
        <v>0</v>
      </c>
      <c r="AZN58" s="4">
        <v>1</v>
      </c>
      <c r="AZO58" s="4">
        <v>0</v>
      </c>
      <c r="AZP58" s="4">
        <v>0</v>
      </c>
      <c r="AZQ58" s="4">
        <v>0</v>
      </c>
      <c r="AZR58" s="4">
        <v>0</v>
      </c>
      <c r="AZS58" s="4">
        <v>0</v>
      </c>
      <c r="AZT58" s="4">
        <v>0</v>
      </c>
      <c r="AZU58" s="4">
        <v>0</v>
      </c>
      <c r="AZV58" s="4">
        <v>0</v>
      </c>
      <c r="AZW58" s="4">
        <v>0</v>
      </c>
      <c r="AZX58" s="4">
        <v>0</v>
      </c>
      <c r="AZY58" s="4">
        <v>0</v>
      </c>
      <c r="AZZ58" s="4">
        <v>0</v>
      </c>
      <c r="BAA58" s="4">
        <v>0</v>
      </c>
      <c r="BAB58" s="4">
        <v>0</v>
      </c>
      <c r="BAC58" s="4">
        <v>0</v>
      </c>
      <c r="BAD58" s="4">
        <v>0</v>
      </c>
      <c r="BAE58" s="4">
        <v>0</v>
      </c>
      <c r="BAF58" s="4">
        <v>0</v>
      </c>
      <c r="BAG58" s="4">
        <v>0</v>
      </c>
      <c r="BAH58" s="4">
        <v>0</v>
      </c>
      <c r="BAI58" s="4">
        <v>0</v>
      </c>
      <c r="BAJ58" s="4">
        <v>0</v>
      </c>
      <c r="BAK58" s="4">
        <v>0</v>
      </c>
      <c r="BAL58" s="4">
        <v>1</v>
      </c>
      <c r="BAM58" s="4">
        <v>0</v>
      </c>
      <c r="BAN58" s="4">
        <v>0</v>
      </c>
      <c r="BAO58" s="4">
        <v>0</v>
      </c>
      <c r="BAP58" s="4">
        <v>0</v>
      </c>
      <c r="BAQ58" s="4">
        <v>0</v>
      </c>
      <c r="BAR58" s="4">
        <v>2</v>
      </c>
      <c r="BAS58" s="4">
        <v>0</v>
      </c>
      <c r="BAT58" s="4">
        <v>0</v>
      </c>
      <c r="BAU58" s="4">
        <v>0</v>
      </c>
      <c r="BAV58" s="4">
        <v>0</v>
      </c>
      <c r="BAW58" s="4">
        <v>0</v>
      </c>
      <c r="BAX58" s="4">
        <v>0</v>
      </c>
      <c r="BAY58" s="4">
        <v>0</v>
      </c>
      <c r="BAZ58" s="4">
        <v>0</v>
      </c>
      <c r="BBA58" s="4">
        <v>0</v>
      </c>
      <c r="BBB58" s="4">
        <v>0</v>
      </c>
      <c r="BBC58" s="4">
        <v>0</v>
      </c>
      <c r="BBD58" s="4">
        <v>0</v>
      </c>
      <c r="BBE58" s="4">
        <v>0</v>
      </c>
      <c r="BBF58" s="4">
        <v>5</v>
      </c>
      <c r="BBG58" s="4">
        <v>0</v>
      </c>
      <c r="BBH58" s="4">
        <v>0</v>
      </c>
      <c r="BBI58" s="4">
        <v>0</v>
      </c>
      <c r="BBJ58" s="4">
        <v>0</v>
      </c>
      <c r="BBK58" s="4">
        <v>0</v>
      </c>
      <c r="BBL58" s="4">
        <v>0</v>
      </c>
      <c r="BBM58" s="4">
        <v>0</v>
      </c>
      <c r="BBN58" s="4">
        <v>0</v>
      </c>
      <c r="BBO58" s="4">
        <v>0</v>
      </c>
      <c r="BBP58" s="4">
        <v>0</v>
      </c>
      <c r="BBQ58" s="4">
        <v>2</v>
      </c>
      <c r="BBR58" s="4">
        <v>0</v>
      </c>
      <c r="BBS58" s="4">
        <v>0</v>
      </c>
      <c r="BBT58" s="4">
        <v>0</v>
      </c>
      <c r="BBU58" s="4">
        <v>0</v>
      </c>
      <c r="BBV58" s="4">
        <v>0</v>
      </c>
      <c r="BBW58" s="4">
        <v>0</v>
      </c>
      <c r="BBX58" s="4">
        <v>0</v>
      </c>
      <c r="BBY58" s="4">
        <v>0</v>
      </c>
      <c r="BBZ58" s="4">
        <v>0</v>
      </c>
      <c r="BCA58" s="4">
        <v>0</v>
      </c>
      <c r="BCB58" s="4">
        <v>0</v>
      </c>
      <c r="BCC58" s="4">
        <v>0</v>
      </c>
      <c r="BCD58" s="4">
        <v>0</v>
      </c>
      <c r="BCE58" s="4">
        <v>0</v>
      </c>
      <c r="BCF58" s="4">
        <v>0</v>
      </c>
      <c r="BCG58" s="4">
        <v>0</v>
      </c>
      <c r="BCH58" s="4">
        <v>0</v>
      </c>
      <c r="BCI58" s="4">
        <v>0</v>
      </c>
      <c r="BCJ58" s="4">
        <v>0</v>
      </c>
      <c r="BCK58" s="4">
        <v>3</v>
      </c>
      <c r="BCL58" s="4">
        <v>0</v>
      </c>
      <c r="BCM58" s="4">
        <v>0</v>
      </c>
      <c r="BCN58" s="4">
        <v>0</v>
      </c>
      <c r="BCO58" s="4">
        <v>0</v>
      </c>
      <c r="BCP58" s="4">
        <v>0</v>
      </c>
      <c r="BCQ58" s="4">
        <v>0</v>
      </c>
      <c r="BCR58" s="4">
        <v>2</v>
      </c>
      <c r="BCS58" s="4">
        <v>0</v>
      </c>
      <c r="BCT58" s="4">
        <v>0</v>
      </c>
      <c r="BCU58" s="4">
        <v>0</v>
      </c>
      <c r="BCV58" s="4">
        <v>0</v>
      </c>
      <c r="BCW58" s="4">
        <v>0</v>
      </c>
      <c r="BCX58" s="4">
        <v>0</v>
      </c>
      <c r="BCY58" s="4">
        <v>0</v>
      </c>
      <c r="BCZ58" s="4">
        <v>0</v>
      </c>
      <c r="BDA58" s="4">
        <v>0</v>
      </c>
      <c r="BDB58" s="4">
        <v>0</v>
      </c>
      <c r="BDC58" s="4">
        <v>0</v>
      </c>
      <c r="BDD58" s="4">
        <v>0</v>
      </c>
      <c r="BDE58" s="4">
        <v>0</v>
      </c>
      <c r="BDF58" s="4">
        <v>0</v>
      </c>
      <c r="BDG58" s="4">
        <v>1</v>
      </c>
      <c r="BDH58" s="4">
        <v>0</v>
      </c>
      <c r="BDI58" s="4">
        <v>0</v>
      </c>
      <c r="BDJ58" s="4">
        <v>0</v>
      </c>
      <c r="BDK58" s="4">
        <v>0</v>
      </c>
      <c r="BDL58" s="4">
        <v>0</v>
      </c>
      <c r="BDM58" s="4">
        <v>0</v>
      </c>
      <c r="BDN58" s="4">
        <v>0</v>
      </c>
      <c r="BDO58" s="4">
        <v>0</v>
      </c>
      <c r="BDP58" s="4">
        <v>2</v>
      </c>
      <c r="BDQ58" s="4">
        <v>0</v>
      </c>
      <c r="BDR58" s="4">
        <v>0</v>
      </c>
      <c r="BDS58" s="4">
        <v>0</v>
      </c>
      <c r="BDT58" s="4">
        <v>6</v>
      </c>
      <c r="BDU58" s="4">
        <v>0</v>
      </c>
      <c r="BDV58" s="4">
        <v>0</v>
      </c>
      <c r="BDW58" s="4">
        <v>0</v>
      </c>
      <c r="BDX58" s="4">
        <v>0</v>
      </c>
      <c r="BDY58" s="4">
        <v>0</v>
      </c>
      <c r="BDZ58" s="4">
        <v>0</v>
      </c>
      <c r="BEA58" s="4">
        <v>0</v>
      </c>
      <c r="BEB58" s="4">
        <v>0</v>
      </c>
      <c r="BEC58" s="4">
        <v>0</v>
      </c>
      <c r="BED58" s="4">
        <v>0</v>
      </c>
      <c r="BEE58" s="4">
        <v>0</v>
      </c>
      <c r="BEF58" s="4">
        <v>5</v>
      </c>
      <c r="BEG58" s="4">
        <v>0</v>
      </c>
      <c r="BEH58" s="4">
        <v>0</v>
      </c>
      <c r="BEI58" s="4">
        <v>0</v>
      </c>
      <c r="BEJ58" s="4">
        <v>0</v>
      </c>
      <c r="BEK58" s="4">
        <v>0</v>
      </c>
      <c r="BEL58" s="4">
        <v>0</v>
      </c>
      <c r="BEM58" s="4">
        <v>0</v>
      </c>
      <c r="BEN58" s="4">
        <v>0</v>
      </c>
      <c r="BEO58" s="4">
        <v>0</v>
      </c>
      <c r="BEP58" s="4">
        <v>0</v>
      </c>
      <c r="BEQ58" s="4">
        <v>0</v>
      </c>
      <c r="BER58" s="4">
        <v>0</v>
      </c>
      <c r="BES58" s="4">
        <v>0</v>
      </c>
      <c r="BET58" s="4">
        <v>0</v>
      </c>
      <c r="BEU58" s="4">
        <v>0</v>
      </c>
      <c r="BEV58" s="4">
        <v>0</v>
      </c>
      <c r="BEW58" s="4">
        <v>0</v>
      </c>
      <c r="BEX58" s="4">
        <v>0</v>
      </c>
      <c r="BEY58" s="4">
        <v>0</v>
      </c>
      <c r="BEZ58" s="4">
        <v>0</v>
      </c>
      <c r="BFA58" s="4">
        <v>0</v>
      </c>
      <c r="BFB58" s="4">
        <v>0</v>
      </c>
      <c r="BFC58" s="4">
        <v>0</v>
      </c>
      <c r="BFD58" s="4">
        <v>0</v>
      </c>
      <c r="BFE58" s="4">
        <v>0</v>
      </c>
      <c r="BFF58" s="4">
        <v>0</v>
      </c>
      <c r="BFG58" s="4">
        <v>0</v>
      </c>
      <c r="BFH58" s="4">
        <v>0</v>
      </c>
      <c r="BFI58" s="4">
        <v>0</v>
      </c>
      <c r="BFJ58" s="4">
        <v>0</v>
      </c>
      <c r="BFK58" s="4">
        <v>0</v>
      </c>
      <c r="BFL58" s="4">
        <v>0</v>
      </c>
      <c r="BFM58" s="4">
        <v>0</v>
      </c>
      <c r="BFN58" s="4">
        <v>0</v>
      </c>
      <c r="BFO58" s="4">
        <v>0</v>
      </c>
      <c r="BFP58" s="4">
        <v>0</v>
      </c>
      <c r="BFQ58" s="4">
        <v>0</v>
      </c>
      <c r="BFR58" s="4">
        <v>0</v>
      </c>
      <c r="BFS58" s="4">
        <v>0</v>
      </c>
      <c r="BFT58" s="4">
        <v>0</v>
      </c>
      <c r="BFU58" s="4">
        <v>0</v>
      </c>
      <c r="BFV58" s="4">
        <v>0</v>
      </c>
      <c r="BFW58" s="4">
        <v>0</v>
      </c>
      <c r="BFX58" s="4">
        <v>0</v>
      </c>
      <c r="BFY58" s="4">
        <v>0</v>
      </c>
      <c r="BFZ58" s="4">
        <v>0</v>
      </c>
      <c r="BGA58" s="4">
        <v>0</v>
      </c>
      <c r="BGB58" s="4">
        <v>0</v>
      </c>
      <c r="BGC58" s="4">
        <v>0</v>
      </c>
      <c r="BGD58" s="4">
        <v>0</v>
      </c>
      <c r="BGE58" s="4">
        <v>0</v>
      </c>
      <c r="BGF58" s="4">
        <v>0</v>
      </c>
      <c r="BGG58" s="4">
        <v>0</v>
      </c>
      <c r="BGH58" s="4">
        <v>0</v>
      </c>
      <c r="BGI58" s="4">
        <v>0</v>
      </c>
      <c r="BGJ58" s="4">
        <v>0</v>
      </c>
      <c r="BGK58" s="4">
        <v>0</v>
      </c>
      <c r="BGL58" s="4">
        <v>0</v>
      </c>
      <c r="BGM58" s="4">
        <v>0</v>
      </c>
      <c r="BGN58" s="4">
        <v>0</v>
      </c>
      <c r="BGO58" s="4">
        <v>0</v>
      </c>
      <c r="BGP58" s="4">
        <v>0</v>
      </c>
      <c r="BGQ58" s="4">
        <v>0</v>
      </c>
      <c r="BGR58" s="4">
        <v>0</v>
      </c>
      <c r="BGS58" s="4">
        <v>0</v>
      </c>
      <c r="BGT58" s="4">
        <v>0</v>
      </c>
      <c r="BGU58" s="4">
        <v>0</v>
      </c>
      <c r="BGV58" s="4">
        <v>0</v>
      </c>
      <c r="BGW58" s="4">
        <v>0</v>
      </c>
      <c r="BGX58" s="4">
        <v>2</v>
      </c>
      <c r="BGY58" s="4">
        <v>0</v>
      </c>
      <c r="BGZ58" s="4">
        <v>0</v>
      </c>
      <c r="BHA58" s="4">
        <v>0</v>
      </c>
      <c r="BHB58" s="4">
        <v>0</v>
      </c>
      <c r="BHC58" s="4">
        <v>0</v>
      </c>
      <c r="BHD58" s="4">
        <v>0</v>
      </c>
      <c r="BHE58" s="4">
        <v>0</v>
      </c>
      <c r="BHF58" s="4">
        <v>0</v>
      </c>
      <c r="BHG58" s="4">
        <v>0</v>
      </c>
      <c r="BHH58" s="4">
        <v>0</v>
      </c>
      <c r="BHI58" s="4">
        <v>0</v>
      </c>
      <c r="BHJ58" s="4">
        <v>0</v>
      </c>
      <c r="BHK58" s="4">
        <v>0</v>
      </c>
      <c r="BHL58" s="4">
        <v>0</v>
      </c>
      <c r="BHM58" s="4">
        <v>0</v>
      </c>
      <c r="BHN58" s="4">
        <v>0</v>
      </c>
      <c r="BHO58" s="4">
        <v>0</v>
      </c>
      <c r="BHP58" s="4">
        <v>0</v>
      </c>
      <c r="BHQ58" s="4">
        <v>0</v>
      </c>
      <c r="BHR58" s="4">
        <v>0</v>
      </c>
      <c r="BHS58" s="4">
        <v>0</v>
      </c>
      <c r="BHT58" s="4">
        <v>0</v>
      </c>
      <c r="BHU58" s="4">
        <v>0</v>
      </c>
      <c r="BHV58" s="4">
        <v>0</v>
      </c>
      <c r="BHW58" s="4">
        <v>0</v>
      </c>
      <c r="BHX58" s="4">
        <v>0</v>
      </c>
      <c r="BHY58" s="4">
        <v>0</v>
      </c>
      <c r="BHZ58" s="4">
        <v>0</v>
      </c>
      <c r="BIA58" s="4">
        <v>0</v>
      </c>
      <c r="BIB58" s="4">
        <v>0</v>
      </c>
      <c r="BIC58" s="4">
        <v>0</v>
      </c>
      <c r="BID58" s="4">
        <v>0</v>
      </c>
      <c r="BIE58" s="4">
        <v>0</v>
      </c>
      <c r="BIF58" s="4">
        <v>0</v>
      </c>
      <c r="BIG58" s="4">
        <v>0</v>
      </c>
      <c r="BIH58" s="4">
        <v>0</v>
      </c>
      <c r="BII58" s="4">
        <v>0</v>
      </c>
      <c r="BIJ58" s="4">
        <v>0</v>
      </c>
      <c r="BIK58" s="4">
        <v>0</v>
      </c>
      <c r="BIL58" s="4">
        <v>0</v>
      </c>
      <c r="BIM58" s="4">
        <v>0</v>
      </c>
      <c r="BIN58" s="4">
        <v>0</v>
      </c>
      <c r="BIO58" s="4">
        <v>0</v>
      </c>
      <c r="BIP58" s="4">
        <v>0</v>
      </c>
      <c r="BIQ58" s="4">
        <v>0</v>
      </c>
      <c r="BIR58" s="4">
        <v>0</v>
      </c>
      <c r="BIS58" s="4">
        <v>0</v>
      </c>
      <c r="BIT58" s="4">
        <v>0</v>
      </c>
      <c r="BIU58" s="4">
        <v>0</v>
      </c>
      <c r="BIV58" s="4">
        <v>0</v>
      </c>
      <c r="BIW58" s="4">
        <v>0</v>
      </c>
      <c r="BIX58" s="4">
        <v>0</v>
      </c>
      <c r="BIY58" s="4">
        <v>0</v>
      </c>
      <c r="BIZ58" s="4">
        <v>0</v>
      </c>
      <c r="BJA58" s="4">
        <v>0</v>
      </c>
      <c r="BJB58" s="4">
        <v>0</v>
      </c>
      <c r="BJC58" s="4">
        <v>0</v>
      </c>
      <c r="BJD58" s="4">
        <v>0</v>
      </c>
      <c r="BJE58" s="4">
        <v>0</v>
      </c>
      <c r="BJF58" s="4">
        <v>0</v>
      </c>
      <c r="BJG58" s="4">
        <v>0</v>
      </c>
      <c r="BJH58" s="4">
        <v>0</v>
      </c>
      <c r="BJI58" s="4">
        <v>0</v>
      </c>
      <c r="BJJ58" s="4">
        <v>0</v>
      </c>
      <c r="BJK58" s="4">
        <v>0</v>
      </c>
      <c r="BJL58" s="4">
        <v>0</v>
      </c>
      <c r="BJM58" s="4">
        <v>0</v>
      </c>
      <c r="BJN58" s="4">
        <v>0</v>
      </c>
      <c r="BJO58" s="4">
        <v>0</v>
      </c>
      <c r="BJP58" s="4">
        <v>0</v>
      </c>
      <c r="BJQ58" s="4">
        <v>0</v>
      </c>
      <c r="BJR58" s="4">
        <v>0</v>
      </c>
      <c r="BJS58" s="4">
        <v>0</v>
      </c>
      <c r="BJT58" s="4">
        <v>0</v>
      </c>
      <c r="BJU58" s="4">
        <v>0</v>
      </c>
      <c r="BJV58" s="4">
        <v>0</v>
      </c>
      <c r="BJW58" s="4">
        <v>0</v>
      </c>
      <c r="BJX58" s="4">
        <v>0</v>
      </c>
      <c r="BJY58" s="4">
        <v>0</v>
      </c>
      <c r="BJZ58" s="4">
        <v>0</v>
      </c>
      <c r="BKA58" s="4">
        <v>0</v>
      </c>
      <c r="BKB58" s="4">
        <v>0</v>
      </c>
      <c r="BKC58" s="4">
        <v>0</v>
      </c>
      <c r="BKD58" s="4">
        <v>0</v>
      </c>
      <c r="BKE58" s="4">
        <v>0</v>
      </c>
      <c r="BKF58" s="4">
        <v>0</v>
      </c>
      <c r="BKG58" s="4">
        <v>0</v>
      </c>
      <c r="BKH58" s="4">
        <v>0</v>
      </c>
      <c r="BKI58" s="4">
        <v>0</v>
      </c>
      <c r="BKJ58" s="4">
        <v>0</v>
      </c>
      <c r="BKK58" s="4">
        <v>0</v>
      </c>
      <c r="BKL58" s="4">
        <v>0</v>
      </c>
      <c r="BKM58" s="4">
        <v>0</v>
      </c>
      <c r="BKN58" s="4">
        <v>0</v>
      </c>
      <c r="BKO58" s="4">
        <v>0</v>
      </c>
      <c r="BKP58" s="4">
        <v>0</v>
      </c>
      <c r="BKQ58" s="4">
        <v>0</v>
      </c>
      <c r="BKR58" s="4">
        <v>0</v>
      </c>
      <c r="BKS58" s="4">
        <v>0</v>
      </c>
      <c r="BKT58" s="4">
        <v>0</v>
      </c>
      <c r="BKU58" s="4">
        <v>0</v>
      </c>
      <c r="BKV58" s="4">
        <v>0</v>
      </c>
      <c r="BKW58" s="4">
        <v>0</v>
      </c>
      <c r="BKX58" s="4">
        <v>0</v>
      </c>
      <c r="BKY58" s="4">
        <v>0</v>
      </c>
      <c r="BKZ58" s="4">
        <v>0</v>
      </c>
      <c r="BLA58" s="4">
        <v>0</v>
      </c>
      <c r="BLB58" s="4">
        <v>0</v>
      </c>
      <c r="BLC58" s="4">
        <v>0</v>
      </c>
      <c r="BLD58" s="4">
        <v>0</v>
      </c>
      <c r="BLE58" s="4">
        <v>0</v>
      </c>
      <c r="BLF58" s="4">
        <v>0</v>
      </c>
      <c r="BLG58" s="4">
        <v>0</v>
      </c>
      <c r="BLH58" s="4">
        <v>0</v>
      </c>
      <c r="BLI58" s="4">
        <v>0</v>
      </c>
      <c r="BLJ58" s="4">
        <v>0</v>
      </c>
      <c r="BLK58" s="4">
        <v>0</v>
      </c>
    </row>
    <row r="59" spans="1:1675" x14ac:dyDescent="0.2">
      <c r="A59">
        <v>5</v>
      </c>
      <c r="B59">
        <v>15</v>
      </c>
      <c r="C59">
        <f t="shared" si="16"/>
        <v>80</v>
      </c>
      <c r="D59">
        <f t="shared" si="14"/>
        <v>974</v>
      </c>
      <c r="E59">
        <f t="shared" si="15"/>
        <v>58</v>
      </c>
      <c r="F59">
        <f t="shared" si="17"/>
        <v>9</v>
      </c>
      <c r="G59">
        <f t="shared" si="18"/>
        <v>1</v>
      </c>
      <c r="H59" cm="1">
        <f t="array" ref="H59">_xlfn.IFS(P59=0, 1, P59=7, 2, P59=5, 3)</f>
        <v>1</v>
      </c>
      <c r="I59" cm="1">
        <f t="array" ref="I59">_xlfn.IFS(H59=1, IF(AC59=0, P59, PO59), H59=2, IF(AC59=0, P59, AFN59), H59=3, IF(AC59=0, P59, AVM59))</f>
        <v>1</v>
      </c>
      <c r="J59" cm="1">
        <f t="array" ref="J59">_xlfn.IFS(I59=0, 1, I59=1, 0, I59=2, 7, I59=7, 2, I59=5, 6, I59=6, 5)</f>
        <v>0</v>
      </c>
      <c r="K59" t="str" cm="1">
        <f t="array" ref="K59">_xlfn.IFNA(_xlfn.IFS(P59&lt;&gt;P60, 1, A59&lt;&gt;A60, IF(P60=P59, 1)), "")</f>
        <v/>
      </c>
      <c r="L59" t="str">
        <f t="shared" si="7"/>
        <v/>
      </c>
      <c r="M59" t="s">
        <v>1746</v>
      </c>
      <c r="N59" s="4" t="s">
        <v>1758</v>
      </c>
      <c r="O59" s="4"/>
      <c r="P59" s="4">
        <v>0</v>
      </c>
      <c r="Q59" s="4">
        <v>22</v>
      </c>
      <c r="R59" s="4">
        <v>9</v>
      </c>
      <c r="S59" s="4">
        <v>11</v>
      </c>
      <c r="T59" s="4">
        <v>3</v>
      </c>
      <c r="U59" s="4">
        <v>0</v>
      </c>
      <c r="V59" s="4">
        <v>0</v>
      </c>
      <c r="W59" s="4">
        <v>6</v>
      </c>
      <c r="X59" s="4">
        <v>1</v>
      </c>
      <c r="Y59" s="4">
        <v>2</v>
      </c>
      <c r="Z59" s="4">
        <v>0</v>
      </c>
      <c r="AA59" s="4">
        <v>311</v>
      </c>
      <c r="AB59" s="4">
        <v>344</v>
      </c>
      <c r="AC59" s="4">
        <v>1</v>
      </c>
      <c r="AD59" s="4">
        <v>26</v>
      </c>
      <c r="AE59" s="4">
        <v>2</v>
      </c>
      <c r="AF59" s="4" t="s">
        <v>1680</v>
      </c>
      <c r="AG59" s="4">
        <v>6</v>
      </c>
      <c r="AH59" s="4" t="s">
        <v>1671</v>
      </c>
      <c r="AI59" s="4">
        <v>8</v>
      </c>
      <c r="AJ59" s="4">
        <v>13</v>
      </c>
      <c r="AK59" s="4">
        <v>2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0.82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3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1</v>
      </c>
      <c r="CX59" s="4">
        <v>2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1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1</v>
      </c>
      <c r="FC59" s="4">
        <v>0</v>
      </c>
      <c r="FD59" s="4">
        <v>0</v>
      </c>
      <c r="FE59" s="4">
        <v>0</v>
      </c>
      <c r="FF59" s="4">
        <v>0</v>
      </c>
      <c r="FG59" s="4">
        <v>1</v>
      </c>
      <c r="FH59" s="4">
        <v>0</v>
      </c>
      <c r="FI59" s="4">
        <v>3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4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2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2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1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1</v>
      </c>
      <c r="HT59" s="4">
        <v>0</v>
      </c>
      <c r="HU59" s="4">
        <v>0</v>
      </c>
      <c r="HV59" s="4">
        <v>0</v>
      </c>
      <c r="HW59" s="4">
        <v>3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1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0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0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0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0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4">
        <v>0</v>
      </c>
      <c r="PH59" s="4">
        <v>0</v>
      </c>
      <c r="PI59" s="4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1</v>
      </c>
      <c r="PP59" s="4">
        <v>82</v>
      </c>
      <c r="PQ59" s="4">
        <v>12</v>
      </c>
      <c r="PR59" s="4">
        <v>9</v>
      </c>
      <c r="PS59" s="4">
        <v>6</v>
      </c>
      <c r="PT59" s="4">
        <v>0</v>
      </c>
      <c r="PU59" s="4">
        <v>0</v>
      </c>
      <c r="PV59" s="4">
        <v>7</v>
      </c>
      <c r="PW59" s="4">
        <v>1</v>
      </c>
      <c r="PX59" s="4">
        <v>4</v>
      </c>
      <c r="PY59" s="4">
        <v>0</v>
      </c>
      <c r="PZ59" s="4">
        <v>317</v>
      </c>
      <c r="QA59" s="4">
        <v>344</v>
      </c>
      <c r="QB59" s="4">
        <v>0</v>
      </c>
      <c r="QC59" s="4">
        <v>30</v>
      </c>
      <c r="QD59" s="4">
        <v>5</v>
      </c>
      <c r="QE59" s="4" t="s">
        <v>1678</v>
      </c>
      <c r="QF59" s="4">
        <v>9</v>
      </c>
      <c r="QG59" s="4" t="s">
        <v>1676</v>
      </c>
      <c r="QH59" s="4">
        <v>6</v>
      </c>
      <c r="QI59" s="4">
        <v>27</v>
      </c>
      <c r="QJ59" s="4">
        <v>4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1.33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6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0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1</v>
      </c>
      <c r="SW59" s="4">
        <v>1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0</v>
      </c>
      <c r="UJ59" s="4">
        <v>0</v>
      </c>
      <c r="UK59" s="4">
        <v>0</v>
      </c>
      <c r="UL59" s="4">
        <v>0</v>
      </c>
      <c r="UM59" s="4">
        <v>0</v>
      </c>
      <c r="UN59" s="4">
        <v>2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1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4">
        <v>0</v>
      </c>
      <c r="VE59" s="4">
        <v>0</v>
      </c>
      <c r="VF59" s="4">
        <v>2</v>
      </c>
      <c r="VG59" s="4">
        <v>0</v>
      </c>
      <c r="VH59" s="4">
        <v>3</v>
      </c>
      <c r="VI59" s="4">
        <v>0</v>
      </c>
      <c r="VJ59" s="4">
        <v>0</v>
      </c>
      <c r="VK59" s="4">
        <v>0</v>
      </c>
      <c r="VL59" s="4">
        <v>0</v>
      </c>
      <c r="VM59" s="4">
        <v>0</v>
      </c>
      <c r="VN59" s="4">
        <v>0</v>
      </c>
      <c r="VO59" s="4">
        <v>0</v>
      </c>
      <c r="VP59" s="4">
        <v>0</v>
      </c>
      <c r="VQ59" s="4">
        <v>0</v>
      </c>
      <c r="VR59" s="4">
        <v>0</v>
      </c>
      <c r="VS59" s="4">
        <v>0</v>
      </c>
      <c r="VT59" s="4">
        <v>0</v>
      </c>
      <c r="VU59" s="4">
        <v>0</v>
      </c>
      <c r="VV59" s="4">
        <v>0</v>
      </c>
      <c r="VW59" s="4">
        <v>0</v>
      </c>
      <c r="VX59" s="4">
        <v>0</v>
      </c>
      <c r="VY59" s="4">
        <v>0</v>
      </c>
      <c r="VZ59" s="4">
        <v>1</v>
      </c>
      <c r="WA59" s="4">
        <v>0</v>
      </c>
      <c r="WB59" s="4">
        <v>0</v>
      </c>
      <c r="WC59" s="4">
        <v>0</v>
      </c>
      <c r="WD59" s="4">
        <v>0</v>
      </c>
      <c r="WE59" s="4">
        <v>0</v>
      </c>
      <c r="WF59" s="4">
        <v>0</v>
      </c>
      <c r="WG59" s="4">
        <v>0</v>
      </c>
      <c r="WH59" s="4">
        <v>0</v>
      </c>
      <c r="WI59" s="4">
        <v>0</v>
      </c>
      <c r="WJ59" s="4">
        <v>0</v>
      </c>
      <c r="WK59" s="4">
        <v>0</v>
      </c>
      <c r="WL59" s="4">
        <v>0</v>
      </c>
      <c r="WM59" s="4">
        <v>1</v>
      </c>
      <c r="WN59" s="4">
        <v>0</v>
      </c>
      <c r="WO59" s="4">
        <v>0</v>
      </c>
      <c r="WP59" s="4">
        <v>0</v>
      </c>
      <c r="WQ59" s="4">
        <v>0</v>
      </c>
      <c r="WR59" s="4">
        <v>0</v>
      </c>
      <c r="WS59" s="4">
        <v>0</v>
      </c>
      <c r="WT59" s="4">
        <v>0</v>
      </c>
      <c r="WU59" s="4">
        <v>0</v>
      </c>
      <c r="WV59" s="4">
        <v>0</v>
      </c>
      <c r="WW59" s="4">
        <v>0</v>
      </c>
      <c r="WX59" s="4">
        <v>0</v>
      </c>
      <c r="WY59" s="4">
        <v>0</v>
      </c>
      <c r="WZ59" s="4">
        <v>0</v>
      </c>
      <c r="XA59" s="4">
        <v>0</v>
      </c>
      <c r="XB59" s="4">
        <v>0</v>
      </c>
      <c r="XC59" s="4">
        <v>0</v>
      </c>
      <c r="XD59" s="4">
        <v>0</v>
      </c>
      <c r="XE59" s="4">
        <v>0</v>
      </c>
      <c r="XF59" s="4">
        <v>0</v>
      </c>
      <c r="XG59" s="4">
        <v>0</v>
      </c>
      <c r="XH59" s="4">
        <v>0</v>
      </c>
      <c r="XI59" s="4">
        <v>1</v>
      </c>
      <c r="XJ59" s="4">
        <v>0</v>
      </c>
      <c r="XK59" s="4">
        <v>0</v>
      </c>
      <c r="XL59" s="4">
        <v>0</v>
      </c>
      <c r="XM59" s="4">
        <v>0</v>
      </c>
      <c r="XN59" s="4">
        <v>0</v>
      </c>
      <c r="XO59" s="4">
        <v>0</v>
      </c>
      <c r="XP59" s="4">
        <v>0</v>
      </c>
      <c r="XQ59" s="4">
        <v>0</v>
      </c>
      <c r="XR59" s="4">
        <v>0</v>
      </c>
      <c r="XS59" s="4">
        <v>0</v>
      </c>
      <c r="XT59" s="4">
        <v>0</v>
      </c>
      <c r="XU59" s="4">
        <v>0</v>
      </c>
      <c r="XV59" s="4">
        <v>3</v>
      </c>
      <c r="XW59" s="4">
        <v>0</v>
      </c>
      <c r="XX59" s="4">
        <v>0</v>
      </c>
      <c r="XY59" s="4">
        <v>2</v>
      </c>
      <c r="XZ59" s="4">
        <v>0</v>
      </c>
      <c r="YA59" s="4">
        <v>0</v>
      </c>
      <c r="YB59" s="4">
        <v>0</v>
      </c>
      <c r="YC59" s="4">
        <v>0</v>
      </c>
      <c r="YD59" s="4">
        <v>0</v>
      </c>
      <c r="YE59" s="4">
        <v>0</v>
      </c>
      <c r="YF59" s="4">
        <v>0</v>
      </c>
      <c r="YG59" s="4">
        <v>0</v>
      </c>
      <c r="YH59" s="4">
        <v>2</v>
      </c>
      <c r="YI59" s="4">
        <v>0</v>
      </c>
      <c r="YJ59" s="4">
        <v>0</v>
      </c>
      <c r="YK59" s="4">
        <v>0</v>
      </c>
      <c r="YL59" s="4">
        <v>0</v>
      </c>
      <c r="YM59" s="4">
        <v>0</v>
      </c>
      <c r="YN59" s="4">
        <v>0</v>
      </c>
      <c r="YO59" s="4">
        <v>0</v>
      </c>
      <c r="YP59" s="4">
        <v>0</v>
      </c>
      <c r="YQ59" s="4">
        <v>0</v>
      </c>
      <c r="YR59" s="4">
        <v>0</v>
      </c>
      <c r="YS59" s="4">
        <v>0</v>
      </c>
      <c r="YT59" s="4">
        <v>0</v>
      </c>
      <c r="YU59" s="4">
        <v>0</v>
      </c>
      <c r="YV59" s="4">
        <v>0</v>
      </c>
      <c r="YW59" s="4">
        <v>0</v>
      </c>
      <c r="YX59" s="4">
        <v>0</v>
      </c>
      <c r="YY59" s="4">
        <v>0</v>
      </c>
      <c r="YZ59" s="4">
        <v>0</v>
      </c>
      <c r="ZA59" s="4">
        <v>0</v>
      </c>
      <c r="ZB59" s="4">
        <v>0</v>
      </c>
      <c r="ZC59" s="4">
        <v>0</v>
      </c>
      <c r="ZD59" s="4">
        <v>0</v>
      </c>
      <c r="ZE59" s="4">
        <v>4</v>
      </c>
      <c r="ZF59" s="4">
        <v>0</v>
      </c>
      <c r="ZG59" s="4">
        <v>0</v>
      </c>
      <c r="ZH59" s="4">
        <v>0</v>
      </c>
      <c r="ZI59" s="4">
        <v>0</v>
      </c>
      <c r="ZJ59" s="4">
        <v>0</v>
      </c>
      <c r="ZK59" s="4">
        <v>0</v>
      </c>
      <c r="ZL59" s="4">
        <v>0</v>
      </c>
      <c r="ZM59" s="4">
        <v>0</v>
      </c>
      <c r="ZN59" s="4">
        <v>0</v>
      </c>
      <c r="ZO59" s="4">
        <v>0</v>
      </c>
      <c r="ZP59" s="4">
        <v>0</v>
      </c>
      <c r="ZQ59" s="4">
        <v>0</v>
      </c>
      <c r="ZR59" s="4">
        <v>0</v>
      </c>
      <c r="ZS59" s="4">
        <v>0</v>
      </c>
      <c r="ZT59" s="4">
        <v>0</v>
      </c>
      <c r="ZU59" s="4">
        <v>0</v>
      </c>
      <c r="ZV59" s="4">
        <v>0</v>
      </c>
      <c r="ZW59" s="4">
        <v>0</v>
      </c>
      <c r="ZX59" s="4">
        <v>0</v>
      </c>
      <c r="ZY59" s="4">
        <v>0</v>
      </c>
      <c r="ZZ59" s="4">
        <v>0</v>
      </c>
      <c r="AAA59" s="4">
        <v>0</v>
      </c>
      <c r="AAB59" s="4">
        <v>0</v>
      </c>
      <c r="AAC59" s="4">
        <v>0</v>
      </c>
      <c r="AAD59" s="4">
        <v>0</v>
      </c>
      <c r="AAE59" s="4">
        <v>0</v>
      </c>
      <c r="AAF59" s="4">
        <v>0</v>
      </c>
      <c r="AAG59" s="4">
        <v>0</v>
      </c>
      <c r="AAH59" s="4">
        <v>0</v>
      </c>
      <c r="AAI59" s="4">
        <v>0</v>
      </c>
      <c r="AAJ59" s="4">
        <v>0</v>
      </c>
      <c r="AAK59" s="4">
        <v>0</v>
      </c>
      <c r="AAL59" s="4">
        <v>0</v>
      </c>
      <c r="AAM59" s="4">
        <v>0</v>
      </c>
      <c r="AAN59" s="4">
        <v>0</v>
      </c>
      <c r="AAO59" s="4">
        <v>0</v>
      </c>
      <c r="AAP59" s="4">
        <v>0</v>
      </c>
      <c r="AAQ59" s="4">
        <v>0</v>
      </c>
      <c r="AAR59" s="4">
        <v>0</v>
      </c>
      <c r="AAS59" s="4">
        <v>0</v>
      </c>
      <c r="AAT59" s="4">
        <v>0</v>
      </c>
      <c r="AAU59" s="4">
        <v>0</v>
      </c>
      <c r="AAV59" s="4">
        <v>0</v>
      </c>
      <c r="AAW59" s="4">
        <v>0</v>
      </c>
      <c r="AAX59" s="4">
        <v>0</v>
      </c>
      <c r="AAY59" s="4">
        <v>0</v>
      </c>
      <c r="AAZ59" s="4">
        <v>0</v>
      </c>
      <c r="ABA59" s="4">
        <v>0</v>
      </c>
      <c r="ABB59" s="4">
        <v>0</v>
      </c>
      <c r="ABC59" s="4">
        <v>0</v>
      </c>
      <c r="ABD59" s="4">
        <v>0</v>
      </c>
      <c r="ABE59" s="4">
        <v>0</v>
      </c>
      <c r="ABF59" s="4">
        <v>0</v>
      </c>
      <c r="ABG59" s="4">
        <v>0</v>
      </c>
      <c r="ABH59" s="4">
        <v>0</v>
      </c>
      <c r="ABI59" s="4">
        <v>0</v>
      </c>
      <c r="ABJ59" s="4">
        <v>0</v>
      </c>
      <c r="ABK59" s="4">
        <v>0</v>
      </c>
      <c r="ABL59" s="4">
        <v>0</v>
      </c>
      <c r="ABM59" s="4">
        <v>0</v>
      </c>
      <c r="ABN59" s="4">
        <v>0</v>
      </c>
      <c r="ABO59" s="4">
        <v>0</v>
      </c>
      <c r="ABP59" s="4">
        <v>0</v>
      </c>
      <c r="ABQ59" s="4">
        <v>0</v>
      </c>
      <c r="ABR59" s="4">
        <v>0</v>
      </c>
      <c r="ABS59" s="4">
        <v>0</v>
      </c>
      <c r="ABT59" s="4">
        <v>0</v>
      </c>
      <c r="ABU59" s="4">
        <v>0</v>
      </c>
      <c r="ABV59" s="4">
        <v>0</v>
      </c>
      <c r="ABW59" s="4">
        <v>0</v>
      </c>
      <c r="ABX59" s="4">
        <v>0</v>
      </c>
      <c r="ABY59" s="4">
        <v>0</v>
      </c>
      <c r="ABZ59" s="4">
        <v>0</v>
      </c>
      <c r="ACA59" s="4">
        <v>0</v>
      </c>
      <c r="ACB59" s="4">
        <v>0</v>
      </c>
      <c r="ACC59" s="4">
        <v>0</v>
      </c>
      <c r="ACD59" s="4">
        <v>0</v>
      </c>
      <c r="ACE59" s="4">
        <v>0</v>
      </c>
      <c r="ACF59" s="4">
        <v>0</v>
      </c>
      <c r="ACG59" s="4">
        <v>0</v>
      </c>
      <c r="ACH59" s="4">
        <v>0</v>
      </c>
      <c r="ACI59" s="4">
        <v>0</v>
      </c>
      <c r="ACJ59" s="4">
        <v>0</v>
      </c>
      <c r="ACK59" s="4">
        <v>0</v>
      </c>
      <c r="ACL59" s="4">
        <v>0</v>
      </c>
      <c r="ACM59" s="4">
        <v>0</v>
      </c>
      <c r="ACN59" s="4">
        <v>0</v>
      </c>
      <c r="ACO59" s="4">
        <v>0</v>
      </c>
      <c r="ACP59" s="4">
        <v>0</v>
      </c>
      <c r="ACQ59" s="4">
        <v>0</v>
      </c>
      <c r="ACR59" s="4">
        <v>0</v>
      </c>
      <c r="ACS59" s="4">
        <v>0</v>
      </c>
      <c r="ACT59" s="4">
        <v>0</v>
      </c>
      <c r="ACU59" s="4">
        <v>0</v>
      </c>
      <c r="ACV59" s="4">
        <v>0</v>
      </c>
      <c r="ACW59" s="4">
        <v>0</v>
      </c>
      <c r="ACX59" s="4">
        <v>0</v>
      </c>
      <c r="ACY59" s="4">
        <v>0</v>
      </c>
      <c r="ACZ59" s="4">
        <v>0</v>
      </c>
      <c r="ADA59" s="4">
        <v>0</v>
      </c>
      <c r="ADB59" s="4">
        <v>0</v>
      </c>
      <c r="ADC59" s="4">
        <v>0</v>
      </c>
      <c r="ADD59" s="4">
        <v>0</v>
      </c>
      <c r="ADE59" s="4">
        <v>0</v>
      </c>
      <c r="ADF59" s="4">
        <v>0</v>
      </c>
      <c r="ADG59" s="4">
        <v>0</v>
      </c>
      <c r="ADH59" s="4">
        <v>0</v>
      </c>
      <c r="ADI59" s="4">
        <v>0</v>
      </c>
      <c r="ADJ59" s="4">
        <v>0</v>
      </c>
      <c r="ADK59" s="4">
        <v>0</v>
      </c>
      <c r="ADL59" s="4">
        <v>0</v>
      </c>
      <c r="ADM59" s="4">
        <v>0</v>
      </c>
      <c r="ADN59" s="4">
        <v>0</v>
      </c>
      <c r="ADO59" s="4">
        <v>0</v>
      </c>
      <c r="ADP59" s="4">
        <v>0</v>
      </c>
      <c r="ADQ59" s="4">
        <v>0</v>
      </c>
      <c r="ADR59" s="4">
        <v>0</v>
      </c>
      <c r="ADS59" s="4">
        <v>0</v>
      </c>
      <c r="ADT59" s="4">
        <v>0</v>
      </c>
      <c r="ADU59" s="4">
        <v>0</v>
      </c>
      <c r="ADV59" s="4">
        <v>0</v>
      </c>
      <c r="ADW59" s="4">
        <v>0</v>
      </c>
      <c r="ADX59" s="4">
        <v>0</v>
      </c>
      <c r="ADY59" s="4">
        <v>0</v>
      </c>
      <c r="ADZ59" s="4">
        <v>0</v>
      </c>
      <c r="AEA59" s="4">
        <v>0</v>
      </c>
      <c r="AEB59" s="4">
        <v>0</v>
      </c>
      <c r="AEC59" s="4">
        <v>0</v>
      </c>
      <c r="AED59" s="4">
        <v>0</v>
      </c>
      <c r="AEE59" s="4">
        <v>0</v>
      </c>
      <c r="AEF59" s="4">
        <v>0</v>
      </c>
      <c r="AEG59" s="4">
        <v>0</v>
      </c>
      <c r="AEH59" s="4">
        <v>0</v>
      </c>
      <c r="AEI59" s="4">
        <v>0</v>
      </c>
      <c r="AEJ59" s="4">
        <v>0</v>
      </c>
      <c r="AEK59" s="4">
        <v>0</v>
      </c>
      <c r="AEL59" s="4">
        <v>0</v>
      </c>
      <c r="AEM59" s="4">
        <v>0</v>
      </c>
      <c r="AEN59" s="4">
        <v>0</v>
      </c>
      <c r="AEO59" s="4">
        <v>0</v>
      </c>
      <c r="AEP59" s="4">
        <v>0</v>
      </c>
      <c r="AEQ59" s="4">
        <v>0</v>
      </c>
      <c r="AER59" s="4">
        <v>0</v>
      </c>
      <c r="AES59" s="4">
        <v>0</v>
      </c>
      <c r="AET59" s="4">
        <v>0</v>
      </c>
      <c r="AEU59" s="4">
        <v>0</v>
      </c>
      <c r="AEV59" s="4">
        <v>0</v>
      </c>
      <c r="AEW59" s="4">
        <v>0</v>
      </c>
      <c r="AEX59" s="4">
        <v>0</v>
      </c>
      <c r="AEY59" s="4">
        <v>0</v>
      </c>
      <c r="AEZ59" s="4">
        <v>0</v>
      </c>
      <c r="AFA59" s="4">
        <v>0</v>
      </c>
      <c r="AFB59" s="4">
        <v>0</v>
      </c>
      <c r="AFC59" s="4">
        <v>0</v>
      </c>
      <c r="AFD59" s="4">
        <v>0</v>
      </c>
      <c r="AFE59" s="4">
        <v>0</v>
      </c>
      <c r="AFF59" s="4">
        <v>0</v>
      </c>
      <c r="AFG59" s="4">
        <v>0</v>
      </c>
      <c r="AFH59" s="4">
        <v>0</v>
      </c>
      <c r="AFI59" s="4">
        <v>0</v>
      </c>
      <c r="AFJ59" s="4">
        <v>0</v>
      </c>
      <c r="AFK59" s="4">
        <v>0</v>
      </c>
      <c r="AFL59" s="4">
        <v>0</v>
      </c>
      <c r="AFM59" s="4">
        <v>0</v>
      </c>
      <c r="AFN59" s="4">
        <v>1</v>
      </c>
      <c r="AFO59" s="4">
        <v>68</v>
      </c>
      <c r="AFP59" s="4">
        <v>11</v>
      </c>
      <c r="AFQ59" s="4">
        <v>5</v>
      </c>
      <c r="AFR59" s="4">
        <v>4</v>
      </c>
      <c r="AFS59" s="4">
        <v>0</v>
      </c>
      <c r="AFT59" s="4">
        <v>0</v>
      </c>
      <c r="AFU59" s="4">
        <v>4</v>
      </c>
      <c r="AFV59" s="4">
        <v>1</v>
      </c>
      <c r="AFW59" s="4">
        <v>2</v>
      </c>
      <c r="AFX59" s="4">
        <v>4</v>
      </c>
      <c r="AFY59" s="4">
        <v>329</v>
      </c>
      <c r="AFZ59" s="4">
        <v>344</v>
      </c>
      <c r="AGA59" s="4">
        <v>0</v>
      </c>
      <c r="AGB59" s="4">
        <v>28</v>
      </c>
      <c r="AGC59" s="4">
        <v>7</v>
      </c>
      <c r="AGD59" s="4" t="s">
        <v>1676</v>
      </c>
      <c r="AGE59" s="4">
        <v>8</v>
      </c>
      <c r="AGF59" s="4" t="s">
        <v>1676</v>
      </c>
      <c r="AGG59" s="4">
        <v>3</v>
      </c>
      <c r="AGH59" s="4">
        <v>34</v>
      </c>
      <c r="AGI59" s="4">
        <v>3</v>
      </c>
      <c r="AGJ59" s="4">
        <v>0</v>
      </c>
      <c r="AGK59" s="4">
        <v>0</v>
      </c>
      <c r="AGL59" s="4">
        <v>0</v>
      </c>
      <c r="AGM59" s="4">
        <v>0</v>
      </c>
      <c r="AGN59" s="4">
        <v>0</v>
      </c>
      <c r="AGO59" s="4">
        <v>0</v>
      </c>
      <c r="AGP59" s="4">
        <v>0</v>
      </c>
      <c r="AGQ59" s="4">
        <v>0</v>
      </c>
      <c r="AGR59" s="4">
        <v>2.2000000000000002</v>
      </c>
      <c r="AGS59" s="4">
        <v>0</v>
      </c>
      <c r="AGT59" s="4">
        <v>0</v>
      </c>
      <c r="AGU59" s="4">
        <v>0</v>
      </c>
      <c r="AGV59" s="4">
        <v>0</v>
      </c>
      <c r="AGW59" s="4">
        <v>0</v>
      </c>
      <c r="AGX59" s="4">
        <v>0</v>
      </c>
      <c r="AGY59" s="4">
        <v>0</v>
      </c>
      <c r="AGZ59" s="4">
        <v>0</v>
      </c>
      <c r="AHA59" s="4">
        <v>4</v>
      </c>
      <c r="AHB59" s="4">
        <v>2</v>
      </c>
      <c r="AHC59" s="4">
        <v>0</v>
      </c>
      <c r="AHD59" s="4">
        <v>0</v>
      </c>
      <c r="AHE59" s="4">
        <v>0</v>
      </c>
      <c r="AHF59" s="4">
        <v>0</v>
      </c>
      <c r="AHG59" s="4">
        <v>0</v>
      </c>
      <c r="AHH59" s="4">
        <v>0</v>
      </c>
      <c r="AHI59" s="4">
        <v>0</v>
      </c>
      <c r="AHJ59" s="4">
        <v>0</v>
      </c>
      <c r="AHK59" s="4">
        <v>0</v>
      </c>
      <c r="AHL59" s="4">
        <v>0</v>
      </c>
      <c r="AHM59" s="4">
        <v>0</v>
      </c>
      <c r="AHN59" s="4">
        <v>0</v>
      </c>
      <c r="AHO59" s="4">
        <v>0</v>
      </c>
      <c r="AHP59" s="4">
        <v>0</v>
      </c>
      <c r="AHQ59" s="4">
        <v>0</v>
      </c>
      <c r="AHR59" s="4">
        <v>0</v>
      </c>
      <c r="AHS59" s="4">
        <v>0</v>
      </c>
      <c r="AHT59" s="4">
        <v>0</v>
      </c>
      <c r="AHU59" s="4">
        <v>0</v>
      </c>
      <c r="AHV59" s="4">
        <v>0</v>
      </c>
      <c r="AHW59" s="4">
        <v>0</v>
      </c>
      <c r="AHX59" s="4">
        <v>0</v>
      </c>
      <c r="AHY59" s="4">
        <v>0</v>
      </c>
      <c r="AHZ59" s="4">
        <v>0</v>
      </c>
      <c r="AIA59" s="4">
        <v>0</v>
      </c>
      <c r="AIB59" s="4">
        <v>0</v>
      </c>
      <c r="AIC59" s="4">
        <v>0</v>
      </c>
      <c r="AID59" s="4">
        <v>0</v>
      </c>
      <c r="AIE59" s="4">
        <v>0</v>
      </c>
      <c r="AIF59" s="4">
        <v>0</v>
      </c>
      <c r="AIG59" s="4">
        <v>0</v>
      </c>
      <c r="AIH59" s="4">
        <v>0</v>
      </c>
      <c r="AII59" s="4">
        <v>0</v>
      </c>
      <c r="AIJ59" s="4">
        <v>0</v>
      </c>
      <c r="AIK59" s="4">
        <v>0</v>
      </c>
      <c r="AIL59" s="4">
        <v>0</v>
      </c>
      <c r="AIM59" s="4">
        <v>0</v>
      </c>
      <c r="AIN59" s="4">
        <v>0</v>
      </c>
      <c r="AIO59" s="4">
        <v>0</v>
      </c>
      <c r="AIP59" s="4">
        <v>0</v>
      </c>
      <c r="AIQ59" s="4">
        <v>0</v>
      </c>
      <c r="AIR59" s="4">
        <v>0</v>
      </c>
      <c r="AIS59" s="4">
        <v>0</v>
      </c>
      <c r="AIT59" s="4">
        <v>0</v>
      </c>
      <c r="AIU59" s="4">
        <v>1</v>
      </c>
      <c r="AIV59" s="4">
        <v>0</v>
      </c>
      <c r="AIW59" s="4">
        <v>0</v>
      </c>
      <c r="AIX59" s="4">
        <v>0</v>
      </c>
      <c r="AIY59" s="4">
        <v>0</v>
      </c>
      <c r="AIZ59" s="4">
        <v>0</v>
      </c>
      <c r="AJA59" s="4">
        <v>0</v>
      </c>
      <c r="AJB59" s="4">
        <v>0</v>
      </c>
      <c r="AJC59" s="4">
        <v>1</v>
      </c>
      <c r="AJD59" s="4">
        <v>0</v>
      </c>
      <c r="AJE59" s="4">
        <v>0</v>
      </c>
      <c r="AJF59" s="4">
        <v>1</v>
      </c>
      <c r="AJG59" s="4">
        <v>0</v>
      </c>
      <c r="AJH59" s="4">
        <v>0</v>
      </c>
      <c r="AJI59" s="4">
        <v>0</v>
      </c>
      <c r="AJJ59" s="4">
        <v>0</v>
      </c>
      <c r="AJK59" s="4">
        <v>0</v>
      </c>
      <c r="AJL59" s="4">
        <v>0</v>
      </c>
      <c r="AJM59" s="4">
        <v>0</v>
      </c>
      <c r="AJN59" s="4">
        <v>0</v>
      </c>
      <c r="AJO59" s="4">
        <v>0</v>
      </c>
      <c r="AJP59" s="4">
        <v>0</v>
      </c>
      <c r="AJQ59" s="4">
        <v>0</v>
      </c>
      <c r="AJR59" s="4">
        <v>0</v>
      </c>
      <c r="AJS59" s="4">
        <v>0</v>
      </c>
      <c r="AJT59" s="4">
        <v>0</v>
      </c>
      <c r="AJU59" s="4">
        <v>0</v>
      </c>
      <c r="AJV59" s="4">
        <v>0</v>
      </c>
      <c r="AJW59" s="4">
        <v>0</v>
      </c>
      <c r="AJX59" s="4">
        <v>0</v>
      </c>
      <c r="AJY59" s="4">
        <v>0</v>
      </c>
      <c r="AJZ59" s="4">
        <v>0</v>
      </c>
      <c r="AKA59" s="4">
        <v>0</v>
      </c>
      <c r="AKB59" s="4">
        <v>0</v>
      </c>
      <c r="AKC59" s="4">
        <v>0</v>
      </c>
      <c r="AKD59" s="4">
        <v>0</v>
      </c>
      <c r="AKE59" s="4">
        <v>0</v>
      </c>
      <c r="AKF59" s="4">
        <v>0</v>
      </c>
      <c r="AKG59" s="4">
        <v>0</v>
      </c>
      <c r="AKH59" s="4">
        <v>0</v>
      </c>
      <c r="AKI59" s="4">
        <v>0</v>
      </c>
      <c r="AKJ59" s="4">
        <v>0</v>
      </c>
      <c r="AKK59" s="4">
        <v>0</v>
      </c>
      <c r="AKL59" s="4">
        <v>0</v>
      </c>
      <c r="AKM59" s="4">
        <v>0</v>
      </c>
      <c r="AKN59" s="4">
        <v>0</v>
      </c>
      <c r="AKO59" s="4">
        <v>0</v>
      </c>
      <c r="AKP59" s="4">
        <v>0</v>
      </c>
      <c r="AKQ59" s="4">
        <v>0</v>
      </c>
      <c r="AKR59" s="4">
        <v>0</v>
      </c>
      <c r="AKS59" s="4">
        <v>1</v>
      </c>
      <c r="AKT59" s="4">
        <v>0</v>
      </c>
      <c r="AKU59" s="4">
        <v>0</v>
      </c>
      <c r="AKV59" s="4">
        <v>0</v>
      </c>
      <c r="AKW59" s="4">
        <v>0</v>
      </c>
      <c r="AKX59" s="4">
        <v>0</v>
      </c>
      <c r="AKY59" s="4">
        <v>0</v>
      </c>
      <c r="AKZ59" s="4">
        <v>0</v>
      </c>
      <c r="ALA59" s="4">
        <v>0</v>
      </c>
      <c r="ALB59" s="4">
        <v>0</v>
      </c>
      <c r="ALC59" s="4">
        <v>1</v>
      </c>
      <c r="ALD59" s="4">
        <v>0</v>
      </c>
      <c r="ALE59" s="4">
        <v>1</v>
      </c>
      <c r="ALF59" s="4">
        <v>0</v>
      </c>
      <c r="ALG59" s="4">
        <v>0</v>
      </c>
      <c r="ALH59" s="4">
        <v>0</v>
      </c>
      <c r="ALI59" s="4">
        <v>0</v>
      </c>
      <c r="ALJ59" s="4">
        <v>0</v>
      </c>
      <c r="ALK59" s="4">
        <v>0</v>
      </c>
      <c r="ALL59" s="4">
        <v>0</v>
      </c>
      <c r="ALM59" s="4">
        <v>0</v>
      </c>
      <c r="ALN59" s="4">
        <v>0</v>
      </c>
      <c r="ALO59" s="4">
        <v>0</v>
      </c>
      <c r="ALP59" s="4">
        <v>0</v>
      </c>
      <c r="ALQ59" s="4">
        <v>0</v>
      </c>
      <c r="ALR59" s="4">
        <v>0</v>
      </c>
      <c r="ALS59" s="4">
        <v>0</v>
      </c>
      <c r="ALT59" s="4">
        <v>0</v>
      </c>
      <c r="ALU59" s="4">
        <v>0</v>
      </c>
      <c r="ALV59" s="4">
        <v>0</v>
      </c>
      <c r="ALW59" s="4">
        <v>0</v>
      </c>
      <c r="ALX59" s="4">
        <v>0</v>
      </c>
      <c r="ALY59" s="4">
        <v>1</v>
      </c>
      <c r="ALZ59" s="4">
        <v>0</v>
      </c>
      <c r="AMA59" s="4">
        <v>0</v>
      </c>
      <c r="AMB59" s="4">
        <v>0</v>
      </c>
      <c r="AMC59" s="4">
        <v>0</v>
      </c>
      <c r="AMD59" s="4">
        <v>0</v>
      </c>
      <c r="AME59" s="4">
        <v>0</v>
      </c>
      <c r="AMF59" s="4">
        <v>0</v>
      </c>
      <c r="AMG59" s="4">
        <v>0</v>
      </c>
      <c r="AMH59" s="4">
        <v>0</v>
      </c>
      <c r="AMI59" s="4">
        <v>0</v>
      </c>
      <c r="AMJ59" s="4">
        <v>0</v>
      </c>
      <c r="AMK59" s="4">
        <v>0</v>
      </c>
      <c r="AML59" s="4">
        <v>0</v>
      </c>
      <c r="AMM59" s="4">
        <v>0</v>
      </c>
      <c r="AMN59" s="4">
        <v>1</v>
      </c>
      <c r="AMO59" s="4">
        <v>0</v>
      </c>
      <c r="AMP59" s="4">
        <v>0</v>
      </c>
      <c r="AMQ59" s="4">
        <v>0</v>
      </c>
      <c r="AMR59" s="4">
        <v>0</v>
      </c>
      <c r="AMS59" s="4">
        <v>2</v>
      </c>
      <c r="AMT59" s="4">
        <v>0</v>
      </c>
      <c r="AMU59" s="4">
        <v>0</v>
      </c>
      <c r="AMV59" s="4">
        <v>0</v>
      </c>
      <c r="AMW59" s="4">
        <v>0</v>
      </c>
      <c r="AMX59" s="4">
        <v>0</v>
      </c>
      <c r="AMY59" s="4">
        <v>0</v>
      </c>
      <c r="AMZ59" s="4">
        <v>0</v>
      </c>
      <c r="ANA59" s="4">
        <v>0</v>
      </c>
      <c r="ANB59" s="4">
        <v>0</v>
      </c>
      <c r="ANC59" s="4">
        <v>0</v>
      </c>
      <c r="AND59" s="4">
        <v>0</v>
      </c>
      <c r="ANE59" s="4">
        <v>0</v>
      </c>
      <c r="ANF59" s="4">
        <v>0</v>
      </c>
      <c r="ANG59" s="4">
        <v>0</v>
      </c>
      <c r="ANH59" s="4">
        <v>2</v>
      </c>
      <c r="ANI59" s="4">
        <v>0</v>
      </c>
      <c r="ANJ59" s="4">
        <v>0</v>
      </c>
      <c r="ANK59" s="4">
        <v>0</v>
      </c>
      <c r="ANL59" s="4">
        <v>0</v>
      </c>
      <c r="ANM59" s="4">
        <v>0</v>
      </c>
      <c r="ANN59" s="4">
        <v>0</v>
      </c>
      <c r="ANO59" s="4">
        <v>0</v>
      </c>
      <c r="ANP59" s="4">
        <v>0</v>
      </c>
      <c r="ANQ59" s="4">
        <v>2</v>
      </c>
      <c r="ANR59" s="4">
        <v>0</v>
      </c>
      <c r="ANS59" s="4">
        <v>0</v>
      </c>
      <c r="ANT59" s="4">
        <v>0</v>
      </c>
      <c r="ANU59" s="4">
        <v>1</v>
      </c>
      <c r="ANV59" s="4">
        <v>0</v>
      </c>
      <c r="ANW59" s="4">
        <v>0</v>
      </c>
      <c r="ANX59" s="4">
        <v>0</v>
      </c>
      <c r="ANY59" s="4">
        <v>0</v>
      </c>
      <c r="ANZ59" s="4">
        <v>0</v>
      </c>
      <c r="AOA59" s="4">
        <v>0</v>
      </c>
      <c r="AOB59" s="4">
        <v>0</v>
      </c>
      <c r="AOC59" s="4">
        <v>0</v>
      </c>
      <c r="AOD59" s="4">
        <v>0</v>
      </c>
      <c r="AOE59" s="4">
        <v>0</v>
      </c>
      <c r="AOF59" s="4">
        <v>0</v>
      </c>
      <c r="AOG59" s="4">
        <v>3</v>
      </c>
      <c r="AOH59" s="4">
        <v>0</v>
      </c>
      <c r="AOI59" s="4">
        <v>0</v>
      </c>
      <c r="AOJ59" s="4">
        <v>0</v>
      </c>
      <c r="AOK59" s="4">
        <v>0</v>
      </c>
      <c r="AOL59" s="4">
        <v>0</v>
      </c>
      <c r="AOM59" s="4">
        <v>0</v>
      </c>
      <c r="AON59" s="4">
        <v>0</v>
      </c>
      <c r="AOO59" s="4">
        <v>0</v>
      </c>
      <c r="AOP59" s="4">
        <v>0</v>
      </c>
      <c r="AOQ59" s="4">
        <v>0</v>
      </c>
      <c r="AOR59" s="4">
        <v>0</v>
      </c>
      <c r="AOS59" s="4">
        <v>1</v>
      </c>
      <c r="AOT59" s="4">
        <v>0</v>
      </c>
      <c r="AOU59" s="4">
        <v>0</v>
      </c>
      <c r="AOV59" s="4">
        <v>0</v>
      </c>
      <c r="AOW59" s="4">
        <v>1</v>
      </c>
      <c r="AOX59" s="4">
        <v>0</v>
      </c>
      <c r="AOY59" s="4">
        <v>0</v>
      </c>
      <c r="AOZ59" s="4">
        <v>0</v>
      </c>
      <c r="APA59" s="4">
        <v>0</v>
      </c>
      <c r="APB59" s="4">
        <v>0</v>
      </c>
      <c r="APC59" s="4">
        <v>0</v>
      </c>
      <c r="APD59" s="4">
        <v>0</v>
      </c>
      <c r="APE59" s="4">
        <v>0</v>
      </c>
      <c r="APF59" s="4">
        <v>0</v>
      </c>
      <c r="APG59" s="4">
        <v>0</v>
      </c>
      <c r="APH59" s="4">
        <v>0</v>
      </c>
      <c r="API59" s="4">
        <v>0</v>
      </c>
      <c r="APJ59" s="4">
        <v>0</v>
      </c>
      <c r="APK59" s="4">
        <v>0</v>
      </c>
      <c r="APL59" s="4">
        <v>0</v>
      </c>
      <c r="APM59" s="4">
        <v>0</v>
      </c>
      <c r="APN59" s="4">
        <v>0</v>
      </c>
      <c r="APO59" s="4">
        <v>0</v>
      </c>
      <c r="APP59" s="4">
        <v>0</v>
      </c>
      <c r="APQ59" s="4">
        <v>0</v>
      </c>
      <c r="APR59" s="4">
        <v>0</v>
      </c>
      <c r="APS59" s="4">
        <v>0</v>
      </c>
      <c r="APT59" s="4">
        <v>2</v>
      </c>
      <c r="APU59" s="4">
        <v>0</v>
      </c>
      <c r="APV59" s="4">
        <v>0</v>
      </c>
      <c r="APW59" s="4">
        <v>0</v>
      </c>
      <c r="APX59" s="4">
        <v>0</v>
      </c>
      <c r="APY59" s="4">
        <v>0</v>
      </c>
      <c r="APZ59" s="4">
        <v>0</v>
      </c>
      <c r="AQA59" s="4">
        <v>0</v>
      </c>
      <c r="AQB59" s="4">
        <v>0</v>
      </c>
      <c r="AQC59" s="4">
        <v>0</v>
      </c>
      <c r="AQD59" s="4">
        <v>0</v>
      </c>
      <c r="AQE59" s="4">
        <v>0</v>
      </c>
      <c r="AQF59" s="4">
        <v>0</v>
      </c>
      <c r="AQG59" s="4">
        <v>0</v>
      </c>
      <c r="AQH59" s="4">
        <v>0</v>
      </c>
      <c r="AQI59" s="4">
        <v>0</v>
      </c>
      <c r="AQJ59" s="4">
        <v>0</v>
      </c>
      <c r="AQK59" s="4">
        <v>0</v>
      </c>
      <c r="AQL59" s="4">
        <v>0</v>
      </c>
      <c r="AQM59" s="4">
        <v>0</v>
      </c>
      <c r="AQN59" s="4">
        <v>0</v>
      </c>
      <c r="AQO59" s="4">
        <v>0</v>
      </c>
      <c r="AQP59" s="4">
        <v>0</v>
      </c>
      <c r="AQQ59" s="4">
        <v>0</v>
      </c>
      <c r="AQR59" s="4">
        <v>0</v>
      </c>
      <c r="AQS59" s="4">
        <v>0</v>
      </c>
      <c r="AQT59" s="4">
        <v>0</v>
      </c>
      <c r="AQU59" s="4">
        <v>0</v>
      </c>
      <c r="AQV59" s="4">
        <v>0</v>
      </c>
      <c r="AQW59" s="4">
        <v>0</v>
      </c>
      <c r="AQX59" s="4">
        <v>0</v>
      </c>
      <c r="AQY59" s="4">
        <v>0</v>
      </c>
      <c r="AQZ59" s="4">
        <v>0</v>
      </c>
      <c r="ARA59" s="4">
        <v>0</v>
      </c>
      <c r="ARB59" s="4">
        <v>0</v>
      </c>
      <c r="ARC59" s="4">
        <v>0</v>
      </c>
      <c r="ARD59" s="4">
        <v>0</v>
      </c>
      <c r="ARE59" s="4">
        <v>0</v>
      </c>
      <c r="ARF59" s="4">
        <v>0</v>
      </c>
      <c r="ARG59" s="4">
        <v>0</v>
      </c>
      <c r="ARH59" s="4">
        <v>0</v>
      </c>
      <c r="ARI59" s="4">
        <v>0</v>
      </c>
      <c r="ARJ59" s="4">
        <v>0</v>
      </c>
      <c r="ARK59" s="4">
        <v>0</v>
      </c>
      <c r="ARL59" s="4">
        <v>0</v>
      </c>
      <c r="ARM59" s="4">
        <v>0</v>
      </c>
      <c r="ARN59" s="4">
        <v>0</v>
      </c>
      <c r="ARO59" s="4">
        <v>0</v>
      </c>
      <c r="ARP59" s="4">
        <v>0</v>
      </c>
      <c r="ARQ59" s="4">
        <v>0</v>
      </c>
      <c r="ARR59" s="4">
        <v>0</v>
      </c>
      <c r="ARS59" s="4">
        <v>0</v>
      </c>
      <c r="ART59" s="4">
        <v>0</v>
      </c>
      <c r="ARU59" s="4">
        <v>0</v>
      </c>
      <c r="ARV59" s="4">
        <v>0</v>
      </c>
      <c r="ARW59" s="4">
        <v>0</v>
      </c>
      <c r="ARX59" s="4">
        <v>0</v>
      </c>
      <c r="ARY59" s="4">
        <v>0</v>
      </c>
      <c r="ARZ59" s="4">
        <v>0</v>
      </c>
      <c r="ASA59" s="4">
        <v>0</v>
      </c>
      <c r="ASB59" s="4">
        <v>0</v>
      </c>
      <c r="ASC59" s="4">
        <v>0</v>
      </c>
      <c r="ASD59" s="4">
        <v>0</v>
      </c>
      <c r="ASE59" s="4">
        <v>0</v>
      </c>
      <c r="ASF59" s="4">
        <v>0</v>
      </c>
      <c r="ASG59" s="4">
        <v>0</v>
      </c>
      <c r="ASH59" s="4">
        <v>0</v>
      </c>
      <c r="ASI59" s="4">
        <v>0</v>
      </c>
      <c r="ASJ59" s="4">
        <v>0</v>
      </c>
      <c r="ASK59" s="4">
        <v>0</v>
      </c>
      <c r="ASL59" s="4">
        <v>0</v>
      </c>
      <c r="ASM59" s="4">
        <v>0</v>
      </c>
      <c r="ASN59" s="4">
        <v>0</v>
      </c>
      <c r="ASO59" s="4">
        <v>0</v>
      </c>
      <c r="ASP59" s="4">
        <v>0</v>
      </c>
      <c r="ASQ59" s="4">
        <v>0</v>
      </c>
      <c r="ASR59" s="4">
        <v>0</v>
      </c>
      <c r="ASS59" s="4">
        <v>0</v>
      </c>
      <c r="AST59" s="4">
        <v>0</v>
      </c>
      <c r="ASU59" s="4">
        <v>0</v>
      </c>
      <c r="ASV59" s="4">
        <v>0</v>
      </c>
      <c r="ASW59" s="4">
        <v>0</v>
      </c>
      <c r="ASX59" s="4">
        <v>0</v>
      </c>
      <c r="ASY59" s="4">
        <v>0</v>
      </c>
      <c r="ASZ59" s="4">
        <v>0</v>
      </c>
      <c r="ATA59" s="4">
        <v>0</v>
      </c>
      <c r="ATB59" s="4">
        <v>0</v>
      </c>
      <c r="ATC59" s="4">
        <v>0</v>
      </c>
      <c r="ATD59" s="4">
        <v>0</v>
      </c>
      <c r="ATE59" s="4">
        <v>0</v>
      </c>
      <c r="ATF59" s="4">
        <v>0</v>
      </c>
      <c r="ATG59" s="4">
        <v>0</v>
      </c>
      <c r="ATH59" s="4">
        <v>0</v>
      </c>
      <c r="ATI59" s="4">
        <v>0</v>
      </c>
      <c r="ATJ59" s="4">
        <v>0</v>
      </c>
      <c r="ATK59" s="4">
        <v>0</v>
      </c>
      <c r="ATL59" s="4">
        <v>0</v>
      </c>
      <c r="ATM59" s="4">
        <v>0</v>
      </c>
      <c r="ATN59" s="4">
        <v>0</v>
      </c>
      <c r="ATO59" s="4">
        <v>0</v>
      </c>
      <c r="ATP59" s="4">
        <v>0</v>
      </c>
      <c r="ATQ59" s="4">
        <v>0</v>
      </c>
      <c r="ATR59" s="4">
        <v>0</v>
      </c>
      <c r="ATS59" s="4">
        <v>0</v>
      </c>
      <c r="ATT59" s="4">
        <v>0</v>
      </c>
      <c r="ATU59" s="4">
        <v>0</v>
      </c>
      <c r="ATV59" s="4">
        <v>0</v>
      </c>
      <c r="ATW59" s="4">
        <v>0</v>
      </c>
      <c r="ATX59" s="4">
        <v>0</v>
      </c>
      <c r="ATY59" s="4">
        <v>0</v>
      </c>
      <c r="ATZ59" s="4">
        <v>0</v>
      </c>
      <c r="AUA59" s="4">
        <v>0</v>
      </c>
      <c r="AUB59" s="4">
        <v>0</v>
      </c>
      <c r="AUC59" s="4">
        <v>0</v>
      </c>
      <c r="AUD59" s="4">
        <v>0</v>
      </c>
      <c r="AUE59" s="4">
        <v>0</v>
      </c>
      <c r="AUF59" s="4">
        <v>0</v>
      </c>
      <c r="AUG59" s="4">
        <v>0</v>
      </c>
      <c r="AUH59" s="4">
        <v>0</v>
      </c>
      <c r="AUI59" s="4">
        <v>0</v>
      </c>
      <c r="AUJ59" s="4">
        <v>0</v>
      </c>
      <c r="AUK59" s="4">
        <v>0</v>
      </c>
      <c r="AUL59" s="4">
        <v>0</v>
      </c>
      <c r="AUM59" s="4">
        <v>0</v>
      </c>
      <c r="AUN59" s="4">
        <v>0</v>
      </c>
      <c r="AUO59" s="4">
        <v>0</v>
      </c>
      <c r="AUP59" s="4">
        <v>0</v>
      </c>
      <c r="AUQ59" s="4">
        <v>0</v>
      </c>
      <c r="AUR59" s="4">
        <v>0</v>
      </c>
      <c r="AUS59" s="4">
        <v>0</v>
      </c>
      <c r="AUT59" s="4">
        <v>0</v>
      </c>
      <c r="AUU59" s="4">
        <v>0</v>
      </c>
      <c r="AUV59" s="4">
        <v>0</v>
      </c>
      <c r="AUW59" s="4">
        <v>0</v>
      </c>
      <c r="AUX59" s="4">
        <v>0</v>
      </c>
      <c r="AUY59" s="4">
        <v>0</v>
      </c>
      <c r="AUZ59" s="4">
        <v>0</v>
      </c>
      <c r="AVA59" s="4">
        <v>0</v>
      </c>
      <c r="AVB59" s="4">
        <v>0</v>
      </c>
      <c r="AVC59" s="4">
        <v>0</v>
      </c>
      <c r="AVD59" s="4">
        <v>0</v>
      </c>
      <c r="AVE59" s="4">
        <v>0</v>
      </c>
      <c r="AVF59" s="4">
        <v>0</v>
      </c>
      <c r="AVG59" s="4">
        <v>0</v>
      </c>
      <c r="AVH59" s="4">
        <v>0</v>
      </c>
      <c r="AVI59" s="4">
        <v>0</v>
      </c>
      <c r="AVJ59" s="4">
        <v>0</v>
      </c>
      <c r="AVK59" s="4">
        <v>0</v>
      </c>
      <c r="AVL59" s="4">
        <v>0</v>
      </c>
      <c r="AVM59" s="4">
        <v>0</v>
      </c>
      <c r="AVN59" s="4">
        <v>81</v>
      </c>
      <c r="AVO59" s="4">
        <v>5</v>
      </c>
      <c r="AVP59" s="4">
        <v>12</v>
      </c>
      <c r="AVQ59" s="4">
        <v>2</v>
      </c>
      <c r="AVR59" s="4">
        <v>0</v>
      </c>
      <c r="AVS59" s="4">
        <v>0</v>
      </c>
      <c r="AVT59" s="4">
        <v>3</v>
      </c>
      <c r="AVU59" s="4">
        <v>2</v>
      </c>
      <c r="AVV59" s="4">
        <v>0</v>
      </c>
      <c r="AVW59" s="4">
        <v>0</v>
      </c>
      <c r="AVX59" s="4">
        <v>308</v>
      </c>
      <c r="AVY59" s="4">
        <v>344</v>
      </c>
      <c r="AVZ59" s="4">
        <v>1</v>
      </c>
      <c r="AWA59" s="4">
        <v>18</v>
      </c>
      <c r="AWB59" s="4">
        <v>3</v>
      </c>
      <c r="AWC59" s="4" t="s">
        <v>1680</v>
      </c>
      <c r="AWD59" s="4">
        <v>3</v>
      </c>
      <c r="AWE59" s="4" t="s">
        <v>1680</v>
      </c>
      <c r="AWF59" s="4">
        <v>9</v>
      </c>
      <c r="AWG59" s="4">
        <v>20</v>
      </c>
      <c r="AWH59" s="4">
        <v>2</v>
      </c>
      <c r="AWI59" s="4">
        <v>0</v>
      </c>
      <c r="AWJ59" s="4">
        <v>0</v>
      </c>
      <c r="AWK59" s="4">
        <v>0</v>
      </c>
      <c r="AWL59" s="4">
        <v>0</v>
      </c>
      <c r="AWM59" s="4">
        <v>0</v>
      </c>
      <c r="AWN59" s="4">
        <v>0</v>
      </c>
      <c r="AWO59" s="4">
        <v>0</v>
      </c>
      <c r="AWP59" s="4">
        <v>0</v>
      </c>
      <c r="AWQ59" s="4">
        <v>0.42</v>
      </c>
      <c r="AWR59" s="4">
        <v>0</v>
      </c>
      <c r="AWS59" s="4">
        <v>0</v>
      </c>
      <c r="AWT59" s="4">
        <v>0</v>
      </c>
      <c r="AWU59" s="4">
        <v>0</v>
      </c>
      <c r="AWV59" s="4">
        <v>0</v>
      </c>
      <c r="AWW59" s="4">
        <v>0</v>
      </c>
      <c r="AWX59" s="4">
        <v>0</v>
      </c>
      <c r="AWY59" s="4">
        <v>0</v>
      </c>
      <c r="AWZ59" s="4">
        <v>2</v>
      </c>
      <c r="AXA59" s="4">
        <v>0</v>
      </c>
      <c r="AXB59" s="4">
        <v>0</v>
      </c>
      <c r="AXC59" s="4">
        <v>0</v>
      </c>
      <c r="AXD59" s="4">
        <v>0</v>
      </c>
      <c r="AXE59" s="4">
        <v>0</v>
      </c>
      <c r="AXF59" s="4">
        <v>0</v>
      </c>
      <c r="AXG59" s="4">
        <v>0</v>
      </c>
      <c r="AXH59" s="4">
        <v>0</v>
      </c>
      <c r="AXI59" s="4">
        <v>0</v>
      </c>
      <c r="AXJ59" s="4">
        <v>0</v>
      </c>
      <c r="AXK59" s="4">
        <v>0</v>
      </c>
      <c r="AXL59" s="4">
        <v>0</v>
      </c>
      <c r="AXM59" s="4">
        <v>0</v>
      </c>
      <c r="AXN59" s="4">
        <v>0</v>
      </c>
      <c r="AXO59" s="4">
        <v>0</v>
      </c>
      <c r="AXP59" s="4">
        <v>0</v>
      </c>
      <c r="AXQ59" s="4">
        <v>0</v>
      </c>
      <c r="AXR59" s="4">
        <v>0</v>
      </c>
      <c r="AXS59" s="4">
        <v>0</v>
      </c>
      <c r="AXT59" s="4">
        <v>0</v>
      </c>
      <c r="AXU59" s="4">
        <v>0</v>
      </c>
      <c r="AXV59" s="4">
        <v>0</v>
      </c>
      <c r="AXW59" s="4">
        <v>0</v>
      </c>
      <c r="AXX59" s="4">
        <v>0</v>
      </c>
      <c r="AXY59" s="4">
        <v>0</v>
      </c>
      <c r="AXZ59" s="4">
        <v>0</v>
      </c>
      <c r="AYA59" s="4">
        <v>0</v>
      </c>
      <c r="AYB59" s="4">
        <v>0</v>
      </c>
      <c r="AYC59" s="4">
        <v>0</v>
      </c>
      <c r="AYD59" s="4">
        <v>0</v>
      </c>
      <c r="AYE59" s="4">
        <v>0</v>
      </c>
      <c r="AYF59" s="4">
        <v>0</v>
      </c>
      <c r="AYG59" s="4">
        <v>0</v>
      </c>
      <c r="AYH59" s="4">
        <v>0</v>
      </c>
      <c r="AYI59" s="4">
        <v>0</v>
      </c>
      <c r="AYJ59" s="4">
        <v>0</v>
      </c>
      <c r="AYK59" s="4">
        <v>0</v>
      </c>
      <c r="AYL59" s="4">
        <v>0</v>
      </c>
      <c r="AYM59" s="4">
        <v>0</v>
      </c>
      <c r="AYN59" s="4">
        <v>0</v>
      </c>
      <c r="AYO59" s="4">
        <v>0</v>
      </c>
      <c r="AYP59" s="4">
        <v>0</v>
      </c>
      <c r="AYQ59" s="4">
        <v>0</v>
      </c>
      <c r="AYR59" s="4">
        <v>0</v>
      </c>
      <c r="AYS59" s="4">
        <v>0</v>
      </c>
      <c r="AYT59" s="4">
        <v>0</v>
      </c>
      <c r="AYU59" s="4">
        <v>2</v>
      </c>
      <c r="AYV59" s="4">
        <v>0</v>
      </c>
      <c r="AYW59" s="4">
        <v>0</v>
      </c>
      <c r="AYX59" s="4">
        <v>0</v>
      </c>
      <c r="AYY59" s="4">
        <v>0</v>
      </c>
      <c r="AYZ59" s="4">
        <v>0</v>
      </c>
      <c r="AZA59" s="4">
        <v>0</v>
      </c>
      <c r="AZB59" s="4">
        <v>0</v>
      </c>
      <c r="AZC59" s="4">
        <v>0</v>
      </c>
      <c r="AZD59" s="4">
        <v>0</v>
      </c>
      <c r="AZE59" s="4">
        <v>0</v>
      </c>
      <c r="AZF59" s="4">
        <v>0</v>
      </c>
      <c r="AZG59" s="4">
        <v>0</v>
      </c>
      <c r="AZH59" s="4">
        <v>0</v>
      </c>
      <c r="AZI59" s="4">
        <v>0</v>
      </c>
      <c r="AZJ59" s="4">
        <v>0</v>
      </c>
      <c r="AZK59" s="4">
        <v>0</v>
      </c>
      <c r="AZL59" s="4">
        <v>0</v>
      </c>
      <c r="AZM59" s="4">
        <v>1</v>
      </c>
      <c r="AZN59" s="4">
        <v>1</v>
      </c>
      <c r="AZO59" s="4">
        <v>0</v>
      </c>
      <c r="AZP59" s="4">
        <v>0</v>
      </c>
      <c r="AZQ59" s="4">
        <v>0</v>
      </c>
      <c r="AZR59" s="4">
        <v>0</v>
      </c>
      <c r="AZS59" s="4">
        <v>0</v>
      </c>
      <c r="AZT59" s="4">
        <v>0</v>
      </c>
      <c r="AZU59" s="4">
        <v>0</v>
      </c>
      <c r="AZV59" s="4">
        <v>0</v>
      </c>
      <c r="AZW59" s="4">
        <v>0</v>
      </c>
      <c r="AZX59" s="4">
        <v>0</v>
      </c>
      <c r="AZY59" s="4">
        <v>0</v>
      </c>
      <c r="AZZ59" s="4">
        <v>0</v>
      </c>
      <c r="BAA59" s="4">
        <v>0</v>
      </c>
      <c r="BAB59" s="4">
        <v>0</v>
      </c>
      <c r="BAC59" s="4">
        <v>0</v>
      </c>
      <c r="BAD59" s="4">
        <v>0</v>
      </c>
      <c r="BAE59" s="4">
        <v>0</v>
      </c>
      <c r="BAF59" s="4">
        <v>0</v>
      </c>
      <c r="BAG59" s="4">
        <v>0</v>
      </c>
      <c r="BAH59" s="4">
        <v>0</v>
      </c>
      <c r="BAI59" s="4">
        <v>0</v>
      </c>
      <c r="BAJ59" s="4">
        <v>0</v>
      </c>
      <c r="BAK59" s="4">
        <v>0</v>
      </c>
      <c r="BAL59" s="4">
        <v>0</v>
      </c>
      <c r="BAM59" s="4">
        <v>0</v>
      </c>
      <c r="BAN59" s="4">
        <v>0</v>
      </c>
      <c r="BAO59" s="4">
        <v>0</v>
      </c>
      <c r="BAP59" s="4">
        <v>0</v>
      </c>
      <c r="BAQ59" s="4">
        <v>0</v>
      </c>
      <c r="BAR59" s="4">
        <v>2</v>
      </c>
      <c r="BAS59" s="4">
        <v>0</v>
      </c>
      <c r="BAT59" s="4">
        <v>0</v>
      </c>
      <c r="BAU59" s="4">
        <v>0</v>
      </c>
      <c r="BAV59" s="4">
        <v>0</v>
      </c>
      <c r="BAW59" s="4">
        <v>0</v>
      </c>
      <c r="BAX59" s="4">
        <v>0</v>
      </c>
      <c r="BAY59" s="4">
        <v>0</v>
      </c>
      <c r="BAZ59" s="4">
        <v>0</v>
      </c>
      <c r="BBA59" s="4">
        <v>0</v>
      </c>
      <c r="BBB59" s="4">
        <v>0</v>
      </c>
      <c r="BBC59" s="4">
        <v>0</v>
      </c>
      <c r="BBD59" s="4">
        <v>2</v>
      </c>
      <c r="BBE59" s="4">
        <v>0</v>
      </c>
      <c r="BBF59" s="4">
        <v>3</v>
      </c>
      <c r="BBG59" s="4">
        <v>0</v>
      </c>
      <c r="BBH59" s="4">
        <v>0</v>
      </c>
      <c r="BBI59" s="4">
        <v>0</v>
      </c>
      <c r="BBJ59" s="4">
        <v>0</v>
      </c>
      <c r="BBK59" s="4">
        <v>0</v>
      </c>
      <c r="BBL59" s="4">
        <v>0</v>
      </c>
      <c r="BBM59" s="4">
        <v>0</v>
      </c>
      <c r="BBN59" s="4">
        <v>0</v>
      </c>
      <c r="BBO59" s="4">
        <v>0</v>
      </c>
      <c r="BBP59" s="4">
        <v>0</v>
      </c>
      <c r="BBQ59" s="4">
        <v>2</v>
      </c>
      <c r="BBR59" s="4">
        <v>0</v>
      </c>
      <c r="BBS59" s="4">
        <v>0</v>
      </c>
      <c r="BBT59" s="4">
        <v>0</v>
      </c>
      <c r="BBU59" s="4">
        <v>0</v>
      </c>
      <c r="BBV59" s="4">
        <v>0</v>
      </c>
      <c r="BBW59" s="4">
        <v>0</v>
      </c>
      <c r="BBX59" s="4">
        <v>0</v>
      </c>
      <c r="BBY59" s="4">
        <v>0</v>
      </c>
      <c r="BBZ59" s="4">
        <v>0</v>
      </c>
      <c r="BCA59" s="4">
        <v>0</v>
      </c>
      <c r="BCB59" s="4">
        <v>0</v>
      </c>
      <c r="BCC59" s="4">
        <v>0</v>
      </c>
      <c r="BCD59" s="4">
        <v>0</v>
      </c>
      <c r="BCE59" s="4">
        <v>0</v>
      </c>
      <c r="BCF59" s="4">
        <v>0</v>
      </c>
      <c r="BCG59" s="4">
        <v>0</v>
      </c>
      <c r="BCH59" s="4">
        <v>0</v>
      </c>
      <c r="BCI59" s="4">
        <v>0</v>
      </c>
      <c r="BCJ59" s="4">
        <v>0</v>
      </c>
      <c r="BCK59" s="4">
        <v>0</v>
      </c>
      <c r="BCL59" s="4">
        <v>0</v>
      </c>
      <c r="BCM59" s="4">
        <v>0</v>
      </c>
      <c r="BCN59" s="4">
        <v>0</v>
      </c>
      <c r="BCO59" s="4">
        <v>0</v>
      </c>
      <c r="BCP59" s="4">
        <v>0</v>
      </c>
      <c r="BCQ59" s="4">
        <v>0</v>
      </c>
      <c r="BCR59" s="4">
        <v>0</v>
      </c>
      <c r="BCS59" s="4">
        <v>0</v>
      </c>
      <c r="BCT59" s="4">
        <v>0</v>
      </c>
      <c r="BCU59" s="4">
        <v>0</v>
      </c>
      <c r="BCV59" s="4">
        <v>0</v>
      </c>
      <c r="BCW59" s="4">
        <v>0</v>
      </c>
      <c r="BCX59" s="4">
        <v>0</v>
      </c>
      <c r="BCY59" s="4">
        <v>0</v>
      </c>
      <c r="BCZ59" s="4">
        <v>0</v>
      </c>
      <c r="BDA59" s="4">
        <v>0</v>
      </c>
      <c r="BDB59" s="4">
        <v>0</v>
      </c>
      <c r="BDC59" s="4">
        <v>0</v>
      </c>
      <c r="BDD59" s="4">
        <v>0</v>
      </c>
      <c r="BDE59" s="4">
        <v>0</v>
      </c>
      <c r="BDF59" s="4">
        <v>0</v>
      </c>
      <c r="BDG59" s="4">
        <v>0</v>
      </c>
      <c r="BDH59" s="4">
        <v>0</v>
      </c>
      <c r="BDI59" s="4">
        <v>0</v>
      </c>
      <c r="BDJ59" s="4">
        <v>0</v>
      </c>
      <c r="BDK59" s="4">
        <v>0</v>
      </c>
      <c r="BDL59" s="4">
        <v>0</v>
      </c>
      <c r="BDM59" s="4">
        <v>0</v>
      </c>
      <c r="BDN59" s="4">
        <v>0</v>
      </c>
      <c r="BDO59" s="4">
        <v>0</v>
      </c>
      <c r="BDP59" s="4">
        <v>0</v>
      </c>
      <c r="BDQ59" s="4">
        <v>0</v>
      </c>
      <c r="BDR59" s="4">
        <v>0</v>
      </c>
      <c r="BDS59" s="4">
        <v>0</v>
      </c>
      <c r="BDT59" s="4">
        <v>2</v>
      </c>
      <c r="BDU59" s="4">
        <v>0</v>
      </c>
      <c r="BDV59" s="4">
        <v>0</v>
      </c>
      <c r="BDW59" s="4">
        <v>0</v>
      </c>
      <c r="BDX59" s="4">
        <v>0</v>
      </c>
      <c r="BDY59" s="4">
        <v>0</v>
      </c>
      <c r="BDZ59" s="4">
        <v>0</v>
      </c>
      <c r="BEA59" s="4">
        <v>0</v>
      </c>
      <c r="BEB59" s="4">
        <v>0</v>
      </c>
      <c r="BEC59" s="4">
        <v>0</v>
      </c>
      <c r="BED59" s="4">
        <v>0</v>
      </c>
      <c r="BEE59" s="4">
        <v>0</v>
      </c>
      <c r="BEF59" s="4">
        <v>0</v>
      </c>
      <c r="BEG59" s="4">
        <v>0</v>
      </c>
      <c r="BEH59" s="4">
        <v>0</v>
      </c>
      <c r="BEI59" s="4">
        <v>0</v>
      </c>
      <c r="BEJ59" s="4">
        <v>0</v>
      </c>
      <c r="BEK59" s="4">
        <v>0</v>
      </c>
      <c r="BEL59" s="4">
        <v>0</v>
      </c>
      <c r="BEM59" s="4">
        <v>0</v>
      </c>
      <c r="BEN59" s="4">
        <v>0</v>
      </c>
      <c r="BEO59" s="4">
        <v>0</v>
      </c>
      <c r="BEP59" s="4">
        <v>0</v>
      </c>
      <c r="BEQ59" s="4">
        <v>0</v>
      </c>
      <c r="BER59" s="4">
        <v>1</v>
      </c>
      <c r="BES59" s="4">
        <v>0</v>
      </c>
      <c r="BET59" s="4">
        <v>0</v>
      </c>
      <c r="BEU59" s="4">
        <v>0</v>
      </c>
      <c r="BEV59" s="4">
        <v>0</v>
      </c>
      <c r="BEW59" s="4">
        <v>0</v>
      </c>
      <c r="BEX59" s="4">
        <v>0</v>
      </c>
      <c r="BEY59" s="4">
        <v>0</v>
      </c>
      <c r="BEZ59" s="4">
        <v>0</v>
      </c>
      <c r="BFA59" s="4">
        <v>0</v>
      </c>
      <c r="BFB59" s="4">
        <v>0</v>
      </c>
      <c r="BFC59" s="4">
        <v>0</v>
      </c>
      <c r="BFD59" s="4">
        <v>0</v>
      </c>
      <c r="BFE59" s="4">
        <v>0</v>
      </c>
      <c r="BFF59" s="4">
        <v>0</v>
      </c>
      <c r="BFG59" s="4">
        <v>0</v>
      </c>
      <c r="BFH59" s="4">
        <v>0</v>
      </c>
      <c r="BFI59" s="4">
        <v>0</v>
      </c>
      <c r="BFJ59" s="4">
        <v>0</v>
      </c>
      <c r="BFK59" s="4">
        <v>0</v>
      </c>
      <c r="BFL59" s="4">
        <v>0</v>
      </c>
      <c r="BFM59" s="4">
        <v>0</v>
      </c>
      <c r="BFN59" s="4">
        <v>0</v>
      </c>
      <c r="BFO59" s="4">
        <v>0</v>
      </c>
      <c r="BFP59" s="4">
        <v>0</v>
      </c>
      <c r="BFQ59" s="4">
        <v>0</v>
      </c>
      <c r="BFR59" s="4">
        <v>0</v>
      </c>
      <c r="BFS59" s="4">
        <v>0</v>
      </c>
      <c r="BFT59" s="4">
        <v>0</v>
      </c>
      <c r="BFU59" s="4">
        <v>0</v>
      </c>
      <c r="BFV59" s="4">
        <v>0</v>
      </c>
      <c r="BFW59" s="4">
        <v>0</v>
      </c>
      <c r="BFX59" s="4">
        <v>0</v>
      </c>
      <c r="BFY59" s="4">
        <v>0</v>
      </c>
      <c r="BFZ59" s="4">
        <v>0</v>
      </c>
      <c r="BGA59" s="4">
        <v>0</v>
      </c>
      <c r="BGB59" s="4">
        <v>0</v>
      </c>
      <c r="BGC59" s="4">
        <v>0</v>
      </c>
      <c r="BGD59" s="4">
        <v>0</v>
      </c>
      <c r="BGE59" s="4">
        <v>0</v>
      </c>
      <c r="BGF59" s="4">
        <v>0</v>
      </c>
      <c r="BGG59" s="4">
        <v>0</v>
      </c>
      <c r="BGH59" s="4">
        <v>0</v>
      </c>
      <c r="BGI59" s="4">
        <v>0</v>
      </c>
      <c r="BGJ59" s="4">
        <v>0</v>
      </c>
      <c r="BGK59" s="4">
        <v>0</v>
      </c>
      <c r="BGL59" s="4">
        <v>0</v>
      </c>
      <c r="BGM59" s="4">
        <v>0</v>
      </c>
      <c r="BGN59" s="4">
        <v>0</v>
      </c>
      <c r="BGO59" s="4">
        <v>0</v>
      </c>
      <c r="BGP59" s="4">
        <v>0</v>
      </c>
      <c r="BGQ59" s="4">
        <v>0</v>
      </c>
      <c r="BGR59" s="4">
        <v>0</v>
      </c>
      <c r="BGS59" s="4">
        <v>0</v>
      </c>
      <c r="BGT59" s="4">
        <v>0</v>
      </c>
      <c r="BGU59" s="4">
        <v>0</v>
      </c>
      <c r="BGV59" s="4">
        <v>0</v>
      </c>
      <c r="BGW59" s="4">
        <v>0</v>
      </c>
      <c r="BGX59" s="4">
        <v>0</v>
      </c>
      <c r="BGY59" s="4">
        <v>0</v>
      </c>
      <c r="BGZ59" s="4">
        <v>0</v>
      </c>
      <c r="BHA59" s="4">
        <v>0</v>
      </c>
      <c r="BHB59" s="4">
        <v>0</v>
      </c>
      <c r="BHC59" s="4">
        <v>0</v>
      </c>
      <c r="BHD59" s="4">
        <v>0</v>
      </c>
      <c r="BHE59" s="4">
        <v>0</v>
      </c>
      <c r="BHF59" s="4">
        <v>0</v>
      </c>
      <c r="BHG59" s="4">
        <v>0</v>
      </c>
      <c r="BHH59" s="4">
        <v>0</v>
      </c>
      <c r="BHI59" s="4">
        <v>0</v>
      </c>
      <c r="BHJ59" s="4">
        <v>0</v>
      </c>
      <c r="BHK59" s="4">
        <v>0</v>
      </c>
      <c r="BHL59" s="4">
        <v>0</v>
      </c>
      <c r="BHM59" s="4">
        <v>0</v>
      </c>
      <c r="BHN59" s="4">
        <v>0</v>
      </c>
      <c r="BHO59" s="4">
        <v>0</v>
      </c>
      <c r="BHP59" s="4">
        <v>0</v>
      </c>
      <c r="BHQ59" s="4">
        <v>0</v>
      </c>
      <c r="BHR59" s="4">
        <v>0</v>
      </c>
      <c r="BHS59" s="4">
        <v>0</v>
      </c>
      <c r="BHT59" s="4">
        <v>0</v>
      </c>
      <c r="BHU59" s="4">
        <v>0</v>
      </c>
      <c r="BHV59" s="4">
        <v>0</v>
      </c>
      <c r="BHW59" s="4">
        <v>0</v>
      </c>
      <c r="BHX59" s="4">
        <v>0</v>
      </c>
      <c r="BHY59" s="4">
        <v>0</v>
      </c>
      <c r="BHZ59" s="4">
        <v>0</v>
      </c>
      <c r="BIA59" s="4">
        <v>0</v>
      </c>
      <c r="BIB59" s="4">
        <v>0</v>
      </c>
      <c r="BIC59" s="4">
        <v>0</v>
      </c>
      <c r="BID59" s="4">
        <v>0</v>
      </c>
      <c r="BIE59" s="4">
        <v>0</v>
      </c>
      <c r="BIF59" s="4">
        <v>0</v>
      </c>
      <c r="BIG59" s="4">
        <v>0</v>
      </c>
      <c r="BIH59" s="4">
        <v>0</v>
      </c>
      <c r="BII59" s="4">
        <v>0</v>
      </c>
      <c r="BIJ59" s="4">
        <v>0</v>
      </c>
      <c r="BIK59" s="4">
        <v>0</v>
      </c>
      <c r="BIL59" s="4">
        <v>0</v>
      </c>
      <c r="BIM59" s="4">
        <v>0</v>
      </c>
      <c r="BIN59" s="4">
        <v>0</v>
      </c>
      <c r="BIO59" s="4">
        <v>0</v>
      </c>
      <c r="BIP59" s="4">
        <v>0</v>
      </c>
      <c r="BIQ59" s="4">
        <v>0</v>
      </c>
      <c r="BIR59" s="4">
        <v>0</v>
      </c>
      <c r="BIS59" s="4">
        <v>0</v>
      </c>
      <c r="BIT59" s="4">
        <v>0</v>
      </c>
      <c r="BIU59" s="4">
        <v>0</v>
      </c>
      <c r="BIV59" s="4">
        <v>0</v>
      </c>
      <c r="BIW59" s="4">
        <v>0</v>
      </c>
      <c r="BIX59" s="4">
        <v>0</v>
      </c>
      <c r="BIY59" s="4">
        <v>0</v>
      </c>
      <c r="BIZ59" s="4">
        <v>0</v>
      </c>
      <c r="BJA59" s="4">
        <v>0</v>
      </c>
      <c r="BJB59" s="4">
        <v>0</v>
      </c>
      <c r="BJC59" s="4">
        <v>0</v>
      </c>
      <c r="BJD59" s="4">
        <v>0</v>
      </c>
      <c r="BJE59" s="4">
        <v>0</v>
      </c>
      <c r="BJF59" s="4">
        <v>0</v>
      </c>
      <c r="BJG59" s="4">
        <v>0</v>
      </c>
      <c r="BJH59" s="4">
        <v>0</v>
      </c>
      <c r="BJI59" s="4">
        <v>0</v>
      </c>
      <c r="BJJ59" s="4">
        <v>0</v>
      </c>
      <c r="BJK59" s="4">
        <v>0</v>
      </c>
      <c r="BJL59" s="4">
        <v>0</v>
      </c>
      <c r="BJM59" s="4">
        <v>0</v>
      </c>
      <c r="BJN59" s="4">
        <v>0</v>
      </c>
      <c r="BJO59" s="4">
        <v>0</v>
      </c>
      <c r="BJP59" s="4">
        <v>0</v>
      </c>
      <c r="BJQ59" s="4">
        <v>0</v>
      </c>
      <c r="BJR59" s="4">
        <v>0</v>
      </c>
      <c r="BJS59" s="4">
        <v>0</v>
      </c>
      <c r="BJT59" s="4">
        <v>0</v>
      </c>
      <c r="BJU59" s="4">
        <v>0</v>
      </c>
      <c r="BJV59" s="4">
        <v>0</v>
      </c>
      <c r="BJW59" s="4">
        <v>0</v>
      </c>
      <c r="BJX59" s="4">
        <v>0</v>
      </c>
      <c r="BJY59" s="4">
        <v>0</v>
      </c>
      <c r="BJZ59" s="4">
        <v>0</v>
      </c>
      <c r="BKA59" s="4">
        <v>0</v>
      </c>
      <c r="BKB59" s="4">
        <v>0</v>
      </c>
      <c r="BKC59" s="4">
        <v>0</v>
      </c>
      <c r="BKD59" s="4">
        <v>0</v>
      </c>
      <c r="BKE59" s="4">
        <v>0</v>
      </c>
      <c r="BKF59" s="4">
        <v>0</v>
      </c>
      <c r="BKG59" s="4">
        <v>0</v>
      </c>
      <c r="BKH59" s="4">
        <v>0</v>
      </c>
      <c r="BKI59" s="4">
        <v>0</v>
      </c>
      <c r="BKJ59" s="4">
        <v>0</v>
      </c>
      <c r="BKK59" s="4">
        <v>0</v>
      </c>
      <c r="BKL59" s="4">
        <v>0</v>
      </c>
      <c r="BKM59" s="4">
        <v>0</v>
      </c>
      <c r="BKN59" s="4">
        <v>0</v>
      </c>
      <c r="BKO59" s="4">
        <v>0</v>
      </c>
      <c r="BKP59" s="4">
        <v>0</v>
      </c>
      <c r="BKQ59" s="4">
        <v>0</v>
      </c>
      <c r="BKR59" s="4">
        <v>0</v>
      </c>
      <c r="BKS59" s="4">
        <v>0</v>
      </c>
      <c r="BKT59" s="4">
        <v>0</v>
      </c>
      <c r="BKU59" s="4">
        <v>0</v>
      </c>
      <c r="BKV59" s="4">
        <v>0</v>
      </c>
      <c r="BKW59" s="4">
        <v>0</v>
      </c>
      <c r="BKX59" s="4">
        <v>0</v>
      </c>
      <c r="BKY59" s="4">
        <v>0</v>
      </c>
      <c r="BKZ59" s="4">
        <v>0</v>
      </c>
      <c r="BLA59" s="4">
        <v>0</v>
      </c>
      <c r="BLB59" s="4">
        <v>0</v>
      </c>
      <c r="BLC59" s="4">
        <v>0</v>
      </c>
      <c r="BLD59" s="4">
        <v>0</v>
      </c>
      <c r="BLE59" s="4">
        <v>0</v>
      </c>
      <c r="BLF59" s="4">
        <v>0</v>
      </c>
      <c r="BLG59" s="4">
        <v>0</v>
      </c>
      <c r="BLH59" s="4">
        <v>0</v>
      </c>
      <c r="BLI59" s="4">
        <v>0</v>
      </c>
      <c r="BLJ59" s="4">
        <v>0</v>
      </c>
      <c r="BLK59" s="4">
        <v>0</v>
      </c>
    </row>
    <row r="60" spans="1:1675" x14ac:dyDescent="0.2">
      <c r="A60">
        <v>5</v>
      </c>
      <c r="B60">
        <v>16</v>
      </c>
      <c r="C60">
        <f t="shared" si="16"/>
        <v>80</v>
      </c>
      <c r="D60">
        <f t="shared" si="14"/>
        <v>975</v>
      </c>
      <c r="E60">
        <f t="shared" si="15"/>
        <v>59</v>
      </c>
      <c r="F60">
        <f t="shared" si="17"/>
        <v>10</v>
      </c>
      <c r="G60">
        <f t="shared" si="18"/>
        <v>2</v>
      </c>
      <c r="H60" cm="1">
        <f t="array" ref="H60">_xlfn.IFS(P60=0, 1, P60=7, 2, P60=5, 3)</f>
        <v>1</v>
      </c>
      <c r="I60" cm="1">
        <f t="array" ref="I60">_xlfn.IFS(H60=1, IF(AC60=0, P60, PO60), H60=2, IF(AC60=0, P60, AFN60), H60=3, IF(AC60=0, P60, AVM60))</f>
        <v>1</v>
      </c>
      <c r="J60" cm="1">
        <f t="array" ref="J60">_xlfn.IFS(I60=0, 1, I60=1, 0, I60=2, 7, I60=7, 2, I60=5, 6, I60=6, 5)</f>
        <v>0</v>
      </c>
      <c r="K60" t="str" cm="1">
        <f t="array" ref="K60">_xlfn.IFNA(_xlfn.IFS(P60&lt;&gt;P61, 1, A60&lt;&gt;A61, IF(P61=P60, 1)), "")</f>
        <v/>
      </c>
      <c r="L60" t="str">
        <f t="shared" si="7"/>
        <v/>
      </c>
      <c r="M60" t="s">
        <v>1748</v>
      </c>
      <c r="N60" s="4" t="s">
        <v>1759</v>
      </c>
      <c r="O60" s="4"/>
      <c r="P60" s="4">
        <v>0</v>
      </c>
      <c r="Q60" s="4">
        <v>58</v>
      </c>
      <c r="R60" s="4">
        <v>19</v>
      </c>
      <c r="S60" s="4">
        <v>14</v>
      </c>
      <c r="T60" s="4">
        <v>3</v>
      </c>
      <c r="U60" s="4">
        <v>1</v>
      </c>
      <c r="V60" s="4">
        <v>0</v>
      </c>
      <c r="W60" s="4">
        <v>13</v>
      </c>
      <c r="X60" s="4">
        <v>3</v>
      </c>
      <c r="Y60" s="4">
        <v>3</v>
      </c>
      <c r="Z60" s="4">
        <v>0</v>
      </c>
      <c r="AA60" s="4">
        <v>331</v>
      </c>
      <c r="AB60" s="4">
        <v>375</v>
      </c>
      <c r="AC60" s="4">
        <v>1</v>
      </c>
      <c r="AD60" s="4">
        <v>47</v>
      </c>
      <c r="AE60" s="4">
        <v>5</v>
      </c>
      <c r="AF60" s="4" t="s">
        <v>1680</v>
      </c>
      <c r="AG60" s="4">
        <v>11</v>
      </c>
      <c r="AH60" s="4" t="s">
        <v>1680</v>
      </c>
      <c r="AI60" s="4">
        <v>8</v>
      </c>
      <c r="AJ60" s="4">
        <v>16</v>
      </c>
      <c r="AK60" s="4">
        <v>3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1.36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3</v>
      </c>
      <c r="BD60" s="4">
        <v>6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1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1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1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3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4</v>
      </c>
      <c r="FC60" s="4">
        <v>0</v>
      </c>
      <c r="FD60" s="4">
        <v>0</v>
      </c>
      <c r="FE60" s="4">
        <v>0</v>
      </c>
      <c r="FF60" s="4">
        <v>0</v>
      </c>
      <c r="FG60" s="4">
        <v>3</v>
      </c>
      <c r="FH60" s="4">
        <v>0</v>
      </c>
      <c r="FI60" s="4">
        <v>5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3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2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3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1</v>
      </c>
      <c r="HT60" s="4">
        <v>0</v>
      </c>
      <c r="HU60" s="4">
        <v>0</v>
      </c>
      <c r="HV60" s="4">
        <v>0</v>
      </c>
      <c r="HW60" s="4">
        <v>5</v>
      </c>
      <c r="HX60" s="4">
        <v>0</v>
      </c>
      <c r="HY60" s="4">
        <v>0</v>
      </c>
      <c r="HZ60" s="4">
        <v>3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1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0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0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2</v>
      </c>
      <c r="LB60" s="4">
        <v>0</v>
      </c>
      <c r="LC60" s="4">
        <v>0</v>
      </c>
      <c r="LD60" s="4">
        <v>0</v>
      </c>
      <c r="LE60" s="4">
        <v>0</v>
      </c>
      <c r="LF60" s="4">
        <v>0</v>
      </c>
      <c r="LG60" s="4">
        <v>0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0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0</v>
      </c>
      <c r="OD60" s="4">
        <v>0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0</v>
      </c>
      <c r="OK60" s="4">
        <v>0</v>
      </c>
      <c r="OL60" s="4">
        <v>0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4">
        <v>0</v>
      </c>
      <c r="PH60" s="4">
        <v>0</v>
      </c>
      <c r="PI60" s="4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1</v>
      </c>
      <c r="PP60" s="4">
        <v>65</v>
      </c>
      <c r="PQ60" s="4">
        <v>17</v>
      </c>
      <c r="PR60" s="4">
        <v>18</v>
      </c>
      <c r="PS60" s="4">
        <v>5</v>
      </c>
      <c r="PT60" s="4">
        <v>0</v>
      </c>
      <c r="PU60" s="4">
        <v>0</v>
      </c>
      <c r="PV60" s="4">
        <v>9</v>
      </c>
      <c r="PW60" s="4">
        <v>1</v>
      </c>
      <c r="PX60" s="4">
        <v>6</v>
      </c>
      <c r="PY60" s="4">
        <v>1</v>
      </c>
      <c r="PZ60" s="4">
        <v>322</v>
      </c>
      <c r="QA60" s="4">
        <v>376</v>
      </c>
      <c r="QB60" s="4">
        <v>0</v>
      </c>
      <c r="QC60" s="4">
        <v>42</v>
      </c>
      <c r="QD60" s="4">
        <v>4</v>
      </c>
      <c r="QE60" s="4" t="s">
        <v>1678</v>
      </c>
      <c r="QF60" s="4">
        <v>9</v>
      </c>
      <c r="QG60" s="4" t="s">
        <v>1676</v>
      </c>
      <c r="QH60" s="4">
        <v>11</v>
      </c>
      <c r="QI60" s="4">
        <v>75</v>
      </c>
      <c r="QJ60" s="4">
        <v>5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0.94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4</v>
      </c>
      <c r="RC60" s="4">
        <v>4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0</v>
      </c>
      <c r="SV60" s="4">
        <v>1</v>
      </c>
      <c r="SW60" s="4">
        <v>2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1</v>
      </c>
      <c r="TE60" s="4">
        <v>0</v>
      </c>
      <c r="TF60" s="4">
        <v>0</v>
      </c>
      <c r="TG60" s="4">
        <v>1</v>
      </c>
      <c r="TH60" s="4">
        <v>0</v>
      </c>
      <c r="TI60" s="4">
        <v>0</v>
      </c>
      <c r="TJ60" s="4">
        <v>0</v>
      </c>
      <c r="TK60" s="4">
        <v>0</v>
      </c>
      <c r="TL60" s="4">
        <v>0</v>
      </c>
      <c r="TM60" s="4">
        <v>0</v>
      </c>
      <c r="TN60" s="4">
        <v>0</v>
      </c>
      <c r="TO60" s="4">
        <v>1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0</v>
      </c>
      <c r="UH60" s="4">
        <v>0</v>
      </c>
      <c r="UI60" s="4">
        <v>0</v>
      </c>
      <c r="UJ60" s="4">
        <v>0</v>
      </c>
      <c r="UK60" s="4">
        <v>0</v>
      </c>
      <c r="UL60" s="4">
        <v>0</v>
      </c>
      <c r="UM60" s="4">
        <v>0</v>
      </c>
      <c r="UN60" s="4">
        <v>1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1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2</v>
      </c>
      <c r="VB60" s="4">
        <v>0</v>
      </c>
      <c r="VC60" s="4">
        <v>0</v>
      </c>
      <c r="VD60" s="4">
        <v>0</v>
      </c>
      <c r="VE60" s="4">
        <v>0</v>
      </c>
      <c r="VF60" s="4">
        <v>1</v>
      </c>
      <c r="VG60" s="4">
        <v>0</v>
      </c>
      <c r="VH60" s="4">
        <v>3</v>
      </c>
      <c r="VI60" s="4">
        <v>0</v>
      </c>
      <c r="VJ60" s="4">
        <v>0</v>
      </c>
      <c r="VK60" s="4">
        <v>0</v>
      </c>
      <c r="VL60" s="4">
        <v>0</v>
      </c>
      <c r="VM60" s="4">
        <v>0</v>
      </c>
      <c r="VN60" s="4">
        <v>0</v>
      </c>
      <c r="VO60" s="4">
        <v>0</v>
      </c>
      <c r="VP60" s="4">
        <v>0</v>
      </c>
      <c r="VQ60" s="4">
        <v>0</v>
      </c>
      <c r="VR60" s="4">
        <v>0</v>
      </c>
      <c r="VS60" s="4">
        <v>3</v>
      </c>
      <c r="VT60" s="4">
        <v>0</v>
      </c>
      <c r="VU60" s="4">
        <v>0</v>
      </c>
      <c r="VV60" s="4">
        <v>0</v>
      </c>
      <c r="VW60" s="4">
        <v>0</v>
      </c>
      <c r="VX60" s="4">
        <v>0</v>
      </c>
      <c r="VY60" s="4">
        <v>0</v>
      </c>
      <c r="VZ60" s="4">
        <v>0</v>
      </c>
      <c r="WA60" s="4">
        <v>0</v>
      </c>
      <c r="WB60" s="4">
        <v>1</v>
      </c>
      <c r="WC60" s="4">
        <v>0</v>
      </c>
      <c r="WD60" s="4">
        <v>0</v>
      </c>
      <c r="WE60" s="4">
        <v>0</v>
      </c>
      <c r="WF60" s="4">
        <v>0</v>
      </c>
      <c r="WG60" s="4">
        <v>0</v>
      </c>
      <c r="WH60" s="4">
        <v>0</v>
      </c>
      <c r="WI60" s="4">
        <v>0</v>
      </c>
      <c r="WJ60" s="4">
        <v>0</v>
      </c>
      <c r="WK60" s="4">
        <v>0</v>
      </c>
      <c r="WL60" s="4">
        <v>0</v>
      </c>
      <c r="WM60" s="4">
        <v>0</v>
      </c>
      <c r="WN60" s="4">
        <v>0</v>
      </c>
      <c r="WO60" s="4">
        <v>0</v>
      </c>
      <c r="WP60" s="4">
        <v>0</v>
      </c>
      <c r="WQ60" s="4">
        <v>0</v>
      </c>
      <c r="WR60" s="4">
        <v>0</v>
      </c>
      <c r="WS60" s="4">
        <v>0</v>
      </c>
      <c r="WT60" s="4">
        <v>5</v>
      </c>
      <c r="WU60" s="4">
        <v>0</v>
      </c>
      <c r="WV60" s="4">
        <v>0</v>
      </c>
      <c r="WW60" s="4">
        <v>0</v>
      </c>
      <c r="WX60" s="4">
        <v>0</v>
      </c>
      <c r="WY60" s="4">
        <v>0</v>
      </c>
      <c r="WZ60" s="4">
        <v>0</v>
      </c>
      <c r="XA60" s="4">
        <v>0</v>
      </c>
      <c r="XB60" s="4">
        <v>0</v>
      </c>
      <c r="XC60" s="4">
        <v>0</v>
      </c>
      <c r="XD60" s="4">
        <v>0</v>
      </c>
      <c r="XE60" s="4">
        <v>0</v>
      </c>
      <c r="XF60" s="4">
        <v>0</v>
      </c>
      <c r="XG60" s="4">
        <v>0</v>
      </c>
      <c r="XH60" s="4">
        <v>0</v>
      </c>
      <c r="XI60" s="4">
        <v>1</v>
      </c>
      <c r="XJ60" s="4">
        <v>0</v>
      </c>
      <c r="XK60" s="4">
        <v>0</v>
      </c>
      <c r="XL60" s="4">
        <v>0</v>
      </c>
      <c r="XM60" s="4">
        <v>0</v>
      </c>
      <c r="XN60" s="4">
        <v>0</v>
      </c>
      <c r="XO60" s="4">
        <v>0</v>
      </c>
      <c r="XP60" s="4">
        <v>0</v>
      </c>
      <c r="XQ60" s="4">
        <v>0</v>
      </c>
      <c r="XR60" s="4">
        <v>1</v>
      </c>
      <c r="XS60" s="4">
        <v>0</v>
      </c>
      <c r="XT60" s="4">
        <v>0</v>
      </c>
      <c r="XU60" s="4">
        <v>0</v>
      </c>
      <c r="XV60" s="4">
        <v>5</v>
      </c>
      <c r="XW60" s="4">
        <v>0</v>
      </c>
      <c r="XX60" s="4">
        <v>0</v>
      </c>
      <c r="XY60" s="4">
        <v>2</v>
      </c>
      <c r="XZ60" s="4">
        <v>0</v>
      </c>
      <c r="YA60" s="4">
        <v>0</v>
      </c>
      <c r="YB60" s="4">
        <v>0</v>
      </c>
      <c r="YC60" s="4">
        <v>0</v>
      </c>
      <c r="YD60" s="4">
        <v>0</v>
      </c>
      <c r="YE60" s="4">
        <v>0</v>
      </c>
      <c r="YF60" s="4">
        <v>0</v>
      </c>
      <c r="YG60" s="4">
        <v>0</v>
      </c>
      <c r="YH60" s="4">
        <v>1</v>
      </c>
      <c r="YI60" s="4">
        <v>0</v>
      </c>
      <c r="YJ60" s="4">
        <v>0</v>
      </c>
      <c r="YK60" s="4">
        <v>0</v>
      </c>
      <c r="YL60" s="4">
        <v>0</v>
      </c>
      <c r="YM60" s="4">
        <v>0</v>
      </c>
      <c r="YN60" s="4">
        <v>0</v>
      </c>
      <c r="YO60" s="4">
        <v>0</v>
      </c>
      <c r="YP60" s="4">
        <v>0</v>
      </c>
      <c r="YQ60" s="4">
        <v>0</v>
      </c>
      <c r="YR60" s="4">
        <v>0</v>
      </c>
      <c r="YS60" s="4">
        <v>0</v>
      </c>
      <c r="YT60" s="4">
        <v>0</v>
      </c>
      <c r="YU60" s="4">
        <v>0</v>
      </c>
      <c r="YV60" s="4">
        <v>0</v>
      </c>
      <c r="YW60" s="4">
        <v>0</v>
      </c>
      <c r="YX60" s="4">
        <v>0</v>
      </c>
      <c r="YY60" s="4">
        <v>0</v>
      </c>
      <c r="YZ60" s="4">
        <v>0</v>
      </c>
      <c r="ZA60" s="4">
        <v>0</v>
      </c>
      <c r="ZB60" s="4">
        <v>0</v>
      </c>
      <c r="ZC60" s="4">
        <v>0</v>
      </c>
      <c r="ZD60" s="4">
        <v>0</v>
      </c>
      <c r="ZE60" s="4">
        <v>1</v>
      </c>
      <c r="ZF60" s="4">
        <v>0</v>
      </c>
      <c r="ZG60" s="4">
        <v>0</v>
      </c>
      <c r="ZH60" s="4">
        <v>0</v>
      </c>
      <c r="ZI60" s="4">
        <v>0</v>
      </c>
      <c r="ZJ60" s="4">
        <v>0</v>
      </c>
      <c r="ZK60" s="4">
        <v>0</v>
      </c>
      <c r="ZL60" s="4">
        <v>0</v>
      </c>
      <c r="ZM60" s="4">
        <v>0</v>
      </c>
      <c r="ZN60" s="4">
        <v>0</v>
      </c>
      <c r="ZO60" s="4">
        <v>0</v>
      </c>
      <c r="ZP60" s="4">
        <v>0</v>
      </c>
      <c r="ZQ60" s="4">
        <v>0</v>
      </c>
      <c r="ZR60" s="4">
        <v>0</v>
      </c>
      <c r="ZS60" s="4">
        <v>0</v>
      </c>
      <c r="ZT60" s="4">
        <v>0</v>
      </c>
      <c r="ZU60" s="4">
        <v>0</v>
      </c>
      <c r="ZV60" s="4">
        <v>0</v>
      </c>
      <c r="ZW60" s="4">
        <v>0</v>
      </c>
      <c r="ZX60" s="4">
        <v>0</v>
      </c>
      <c r="ZY60" s="4">
        <v>0</v>
      </c>
      <c r="ZZ60" s="4">
        <v>0</v>
      </c>
      <c r="AAA60" s="4">
        <v>0</v>
      </c>
      <c r="AAB60" s="4">
        <v>0</v>
      </c>
      <c r="AAC60" s="4">
        <v>0</v>
      </c>
      <c r="AAD60" s="4">
        <v>0</v>
      </c>
      <c r="AAE60" s="4">
        <v>0</v>
      </c>
      <c r="AAF60" s="4">
        <v>0</v>
      </c>
      <c r="AAG60" s="4">
        <v>0</v>
      </c>
      <c r="AAH60" s="4">
        <v>0</v>
      </c>
      <c r="AAI60" s="4">
        <v>0</v>
      </c>
      <c r="AAJ60" s="4">
        <v>0</v>
      </c>
      <c r="AAK60" s="4">
        <v>0</v>
      </c>
      <c r="AAL60" s="4">
        <v>0</v>
      </c>
      <c r="AAM60" s="4">
        <v>0</v>
      </c>
      <c r="AAN60" s="4">
        <v>0</v>
      </c>
      <c r="AAO60" s="4">
        <v>0</v>
      </c>
      <c r="AAP60" s="4">
        <v>0</v>
      </c>
      <c r="AAQ60" s="4">
        <v>0</v>
      </c>
      <c r="AAR60" s="4">
        <v>0</v>
      </c>
      <c r="AAS60" s="4">
        <v>0</v>
      </c>
      <c r="AAT60" s="4">
        <v>0</v>
      </c>
      <c r="AAU60" s="4">
        <v>0</v>
      </c>
      <c r="AAV60" s="4">
        <v>0</v>
      </c>
      <c r="AAW60" s="4">
        <v>0</v>
      </c>
      <c r="AAX60" s="4">
        <v>0</v>
      </c>
      <c r="AAY60" s="4">
        <v>0</v>
      </c>
      <c r="AAZ60" s="4">
        <v>0</v>
      </c>
      <c r="ABA60" s="4">
        <v>0</v>
      </c>
      <c r="ABB60" s="4">
        <v>0</v>
      </c>
      <c r="ABC60" s="4">
        <v>0</v>
      </c>
      <c r="ABD60" s="4">
        <v>0</v>
      </c>
      <c r="ABE60" s="4">
        <v>0</v>
      </c>
      <c r="ABF60" s="4">
        <v>0</v>
      </c>
      <c r="ABG60" s="4">
        <v>0</v>
      </c>
      <c r="ABH60" s="4">
        <v>0</v>
      </c>
      <c r="ABI60" s="4">
        <v>0</v>
      </c>
      <c r="ABJ60" s="4">
        <v>0</v>
      </c>
      <c r="ABK60" s="4">
        <v>0</v>
      </c>
      <c r="ABL60" s="4">
        <v>0</v>
      </c>
      <c r="ABM60" s="4">
        <v>0</v>
      </c>
      <c r="ABN60" s="4">
        <v>0</v>
      </c>
      <c r="ABO60" s="4">
        <v>0</v>
      </c>
      <c r="ABP60" s="4">
        <v>0</v>
      </c>
      <c r="ABQ60" s="4">
        <v>0</v>
      </c>
      <c r="ABR60" s="4">
        <v>0</v>
      </c>
      <c r="ABS60" s="4">
        <v>0</v>
      </c>
      <c r="ABT60" s="4">
        <v>0</v>
      </c>
      <c r="ABU60" s="4">
        <v>0</v>
      </c>
      <c r="ABV60" s="4">
        <v>0</v>
      </c>
      <c r="ABW60" s="4">
        <v>0</v>
      </c>
      <c r="ABX60" s="4">
        <v>0</v>
      </c>
      <c r="ABY60" s="4">
        <v>0</v>
      </c>
      <c r="ABZ60" s="4">
        <v>0</v>
      </c>
      <c r="ACA60" s="4">
        <v>0</v>
      </c>
      <c r="ACB60" s="4">
        <v>0</v>
      </c>
      <c r="ACC60" s="4">
        <v>0</v>
      </c>
      <c r="ACD60" s="4">
        <v>0</v>
      </c>
      <c r="ACE60" s="4">
        <v>0</v>
      </c>
      <c r="ACF60" s="4">
        <v>0</v>
      </c>
      <c r="ACG60" s="4">
        <v>0</v>
      </c>
      <c r="ACH60" s="4">
        <v>0</v>
      </c>
      <c r="ACI60" s="4">
        <v>0</v>
      </c>
      <c r="ACJ60" s="4">
        <v>0</v>
      </c>
      <c r="ACK60" s="4">
        <v>0</v>
      </c>
      <c r="ACL60" s="4">
        <v>0</v>
      </c>
      <c r="ACM60" s="4">
        <v>0</v>
      </c>
      <c r="ACN60" s="4">
        <v>0</v>
      </c>
      <c r="ACO60" s="4">
        <v>0</v>
      </c>
      <c r="ACP60" s="4">
        <v>0</v>
      </c>
      <c r="ACQ60" s="4">
        <v>0</v>
      </c>
      <c r="ACR60" s="4">
        <v>0</v>
      </c>
      <c r="ACS60" s="4">
        <v>0</v>
      </c>
      <c r="ACT60" s="4">
        <v>0</v>
      </c>
      <c r="ACU60" s="4">
        <v>0</v>
      </c>
      <c r="ACV60" s="4">
        <v>0</v>
      </c>
      <c r="ACW60" s="4">
        <v>0</v>
      </c>
      <c r="ACX60" s="4">
        <v>0</v>
      </c>
      <c r="ACY60" s="4">
        <v>0</v>
      </c>
      <c r="ACZ60" s="4">
        <v>0</v>
      </c>
      <c r="ADA60" s="4">
        <v>0</v>
      </c>
      <c r="ADB60" s="4">
        <v>0</v>
      </c>
      <c r="ADC60" s="4">
        <v>0</v>
      </c>
      <c r="ADD60" s="4">
        <v>0</v>
      </c>
      <c r="ADE60" s="4">
        <v>0</v>
      </c>
      <c r="ADF60" s="4">
        <v>0</v>
      </c>
      <c r="ADG60" s="4">
        <v>0</v>
      </c>
      <c r="ADH60" s="4">
        <v>0</v>
      </c>
      <c r="ADI60" s="4">
        <v>0</v>
      </c>
      <c r="ADJ60" s="4">
        <v>0</v>
      </c>
      <c r="ADK60" s="4">
        <v>0</v>
      </c>
      <c r="ADL60" s="4">
        <v>0</v>
      </c>
      <c r="ADM60" s="4">
        <v>0</v>
      </c>
      <c r="ADN60" s="4">
        <v>0</v>
      </c>
      <c r="ADO60" s="4">
        <v>0</v>
      </c>
      <c r="ADP60" s="4">
        <v>0</v>
      </c>
      <c r="ADQ60" s="4">
        <v>0</v>
      </c>
      <c r="ADR60" s="4">
        <v>0</v>
      </c>
      <c r="ADS60" s="4">
        <v>0</v>
      </c>
      <c r="ADT60" s="4">
        <v>0</v>
      </c>
      <c r="ADU60" s="4">
        <v>0</v>
      </c>
      <c r="ADV60" s="4">
        <v>0</v>
      </c>
      <c r="ADW60" s="4">
        <v>0</v>
      </c>
      <c r="ADX60" s="4">
        <v>0</v>
      </c>
      <c r="ADY60" s="4">
        <v>0</v>
      </c>
      <c r="ADZ60" s="4">
        <v>0</v>
      </c>
      <c r="AEA60" s="4">
        <v>0</v>
      </c>
      <c r="AEB60" s="4">
        <v>0</v>
      </c>
      <c r="AEC60" s="4">
        <v>0</v>
      </c>
      <c r="AED60" s="4">
        <v>0</v>
      </c>
      <c r="AEE60" s="4">
        <v>0</v>
      </c>
      <c r="AEF60" s="4">
        <v>0</v>
      </c>
      <c r="AEG60" s="4">
        <v>0</v>
      </c>
      <c r="AEH60" s="4">
        <v>0</v>
      </c>
      <c r="AEI60" s="4">
        <v>0</v>
      </c>
      <c r="AEJ60" s="4">
        <v>0</v>
      </c>
      <c r="AEK60" s="4">
        <v>0</v>
      </c>
      <c r="AEL60" s="4">
        <v>0</v>
      </c>
      <c r="AEM60" s="4">
        <v>0</v>
      </c>
      <c r="AEN60" s="4">
        <v>0</v>
      </c>
      <c r="AEO60" s="4">
        <v>0</v>
      </c>
      <c r="AEP60" s="4">
        <v>0</v>
      </c>
      <c r="AEQ60" s="4">
        <v>0</v>
      </c>
      <c r="AER60" s="4">
        <v>0</v>
      </c>
      <c r="AES60" s="4">
        <v>0</v>
      </c>
      <c r="AET60" s="4">
        <v>0</v>
      </c>
      <c r="AEU60" s="4">
        <v>0</v>
      </c>
      <c r="AEV60" s="4">
        <v>0</v>
      </c>
      <c r="AEW60" s="4">
        <v>0</v>
      </c>
      <c r="AEX60" s="4">
        <v>0</v>
      </c>
      <c r="AEY60" s="4">
        <v>0</v>
      </c>
      <c r="AEZ60" s="4">
        <v>0</v>
      </c>
      <c r="AFA60" s="4">
        <v>0</v>
      </c>
      <c r="AFB60" s="4">
        <v>0</v>
      </c>
      <c r="AFC60" s="4">
        <v>0</v>
      </c>
      <c r="AFD60" s="4">
        <v>0</v>
      </c>
      <c r="AFE60" s="4">
        <v>0</v>
      </c>
      <c r="AFF60" s="4">
        <v>0</v>
      </c>
      <c r="AFG60" s="4">
        <v>0</v>
      </c>
      <c r="AFH60" s="4">
        <v>0</v>
      </c>
      <c r="AFI60" s="4">
        <v>0</v>
      </c>
      <c r="AFJ60" s="4">
        <v>0</v>
      </c>
      <c r="AFK60" s="4">
        <v>0</v>
      </c>
      <c r="AFL60" s="4">
        <v>0</v>
      </c>
      <c r="AFM60" s="4">
        <v>0</v>
      </c>
      <c r="AFN60" s="4">
        <v>1</v>
      </c>
      <c r="AFO60" s="4">
        <v>85</v>
      </c>
      <c r="AFP60" s="4">
        <v>16</v>
      </c>
      <c r="AFQ60" s="4">
        <v>14</v>
      </c>
      <c r="AFR60" s="4">
        <v>6</v>
      </c>
      <c r="AFS60" s="4">
        <v>0</v>
      </c>
      <c r="AFT60" s="4">
        <v>0</v>
      </c>
      <c r="AFU60" s="4">
        <v>14</v>
      </c>
      <c r="AFV60" s="4">
        <v>1</v>
      </c>
      <c r="AFW60" s="4">
        <v>1</v>
      </c>
      <c r="AFX60" s="4">
        <v>0</v>
      </c>
      <c r="AFY60" s="4">
        <v>334</v>
      </c>
      <c r="AFZ60" s="4">
        <v>375</v>
      </c>
      <c r="AGA60" s="4">
        <v>0</v>
      </c>
      <c r="AGB60" s="4">
        <v>51</v>
      </c>
      <c r="AGC60" s="4">
        <v>4</v>
      </c>
      <c r="AGD60" s="4" t="s">
        <v>1678</v>
      </c>
      <c r="AGE60" s="4">
        <v>10</v>
      </c>
      <c r="AGF60" s="4" t="s">
        <v>1676</v>
      </c>
      <c r="AGG60" s="4">
        <v>8</v>
      </c>
      <c r="AGH60" s="4">
        <v>13</v>
      </c>
      <c r="AGI60" s="4">
        <v>3</v>
      </c>
      <c r="AGJ60" s="4">
        <v>0</v>
      </c>
      <c r="AGK60" s="4">
        <v>0</v>
      </c>
      <c r="AGL60" s="4">
        <v>0</v>
      </c>
      <c r="AGM60" s="4">
        <v>0</v>
      </c>
      <c r="AGN60" s="4">
        <v>0</v>
      </c>
      <c r="AGO60" s="4">
        <v>0</v>
      </c>
      <c r="AGP60" s="4">
        <v>0</v>
      </c>
      <c r="AGQ60" s="4">
        <v>0</v>
      </c>
      <c r="AGR60" s="4">
        <v>1.1399999999999999</v>
      </c>
      <c r="AGS60" s="4">
        <v>0</v>
      </c>
      <c r="AGT60" s="4">
        <v>0</v>
      </c>
      <c r="AGU60" s="4">
        <v>0</v>
      </c>
      <c r="AGV60" s="4">
        <v>0</v>
      </c>
      <c r="AGW60" s="4">
        <v>0</v>
      </c>
      <c r="AGX60" s="4">
        <v>0</v>
      </c>
      <c r="AGY60" s="4">
        <v>0</v>
      </c>
      <c r="AGZ60" s="4">
        <v>0</v>
      </c>
      <c r="AHA60" s="4">
        <v>5</v>
      </c>
      <c r="AHB60" s="4">
        <v>5</v>
      </c>
      <c r="AHC60" s="4">
        <v>0</v>
      </c>
      <c r="AHD60" s="4">
        <v>0</v>
      </c>
      <c r="AHE60" s="4">
        <v>0</v>
      </c>
      <c r="AHF60" s="4">
        <v>0</v>
      </c>
      <c r="AHG60" s="4">
        <v>0</v>
      </c>
      <c r="AHH60" s="4">
        <v>0</v>
      </c>
      <c r="AHI60" s="4">
        <v>0</v>
      </c>
      <c r="AHJ60" s="4">
        <v>0</v>
      </c>
      <c r="AHK60" s="4">
        <v>0</v>
      </c>
      <c r="AHL60" s="4">
        <v>0</v>
      </c>
      <c r="AHM60" s="4">
        <v>0</v>
      </c>
      <c r="AHN60" s="4">
        <v>0</v>
      </c>
      <c r="AHO60" s="4">
        <v>0</v>
      </c>
      <c r="AHP60" s="4">
        <v>0</v>
      </c>
      <c r="AHQ60" s="4">
        <v>0</v>
      </c>
      <c r="AHR60" s="4">
        <v>0</v>
      </c>
      <c r="AHS60" s="4">
        <v>0</v>
      </c>
      <c r="AHT60" s="4">
        <v>0</v>
      </c>
      <c r="AHU60" s="4">
        <v>0</v>
      </c>
      <c r="AHV60" s="4">
        <v>0</v>
      </c>
      <c r="AHW60" s="4">
        <v>0</v>
      </c>
      <c r="AHX60" s="4">
        <v>0</v>
      </c>
      <c r="AHY60" s="4">
        <v>0</v>
      </c>
      <c r="AHZ60" s="4">
        <v>0</v>
      </c>
      <c r="AIA60" s="4">
        <v>0</v>
      </c>
      <c r="AIB60" s="4">
        <v>0</v>
      </c>
      <c r="AIC60" s="4">
        <v>0</v>
      </c>
      <c r="AID60" s="4">
        <v>0</v>
      </c>
      <c r="AIE60" s="4">
        <v>0</v>
      </c>
      <c r="AIF60" s="4">
        <v>0</v>
      </c>
      <c r="AIG60" s="4">
        <v>0</v>
      </c>
      <c r="AIH60" s="4">
        <v>0</v>
      </c>
      <c r="AII60" s="4">
        <v>0</v>
      </c>
      <c r="AIJ60" s="4">
        <v>0</v>
      </c>
      <c r="AIK60" s="4">
        <v>0</v>
      </c>
      <c r="AIL60" s="4">
        <v>0</v>
      </c>
      <c r="AIM60" s="4">
        <v>0</v>
      </c>
      <c r="AIN60" s="4">
        <v>0</v>
      </c>
      <c r="AIO60" s="4">
        <v>0</v>
      </c>
      <c r="AIP60" s="4">
        <v>0</v>
      </c>
      <c r="AIQ60" s="4">
        <v>0</v>
      </c>
      <c r="AIR60" s="4">
        <v>0</v>
      </c>
      <c r="AIS60" s="4">
        <v>0</v>
      </c>
      <c r="AIT60" s="4">
        <v>0</v>
      </c>
      <c r="AIU60" s="4">
        <v>2</v>
      </c>
      <c r="AIV60" s="4">
        <v>2</v>
      </c>
      <c r="AIW60" s="4">
        <v>0</v>
      </c>
      <c r="AIX60" s="4">
        <v>0</v>
      </c>
      <c r="AIY60" s="4">
        <v>0</v>
      </c>
      <c r="AIZ60" s="4">
        <v>0</v>
      </c>
      <c r="AJA60" s="4">
        <v>0</v>
      </c>
      <c r="AJB60" s="4">
        <v>0</v>
      </c>
      <c r="AJC60" s="4">
        <v>0</v>
      </c>
      <c r="AJD60" s="4">
        <v>0</v>
      </c>
      <c r="AJE60" s="4">
        <v>0</v>
      </c>
      <c r="AJF60" s="4">
        <v>0</v>
      </c>
      <c r="AJG60" s="4">
        <v>0</v>
      </c>
      <c r="AJH60" s="4">
        <v>0</v>
      </c>
      <c r="AJI60" s="4">
        <v>0</v>
      </c>
      <c r="AJJ60" s="4">
        <v>0</v>
      </c>
      <c r="AJK60" s="4">
        <v>0</v>
      </c>
      <c r="AJL60" s="4">
        <v>0</v>
      </c>
      <c r="AJM60" s="4">
        <v>0</v>
      </c>
      <c r="AJN60" s="4">
        <v>0</v>
      </c>
      <c r="AJO60" s="4">
        <v>1</v>
      </c>
      <c r="AJP60" s="4">
        <v>0</v>
      </c>
      <c r="AJQ60" s="4">
        <v>0</v>
      </c>
      <c r="AJR60" s="4">
        <v>0</v>
      </c>
      <c r="AJS60" s="4">
        <v>0</v>
      </c>
      <c r="AJT60" s="4">
        <v>0</v>
      </c>
      <c r="AJU60" s="4">
        <v>0</v>
      </c>
      <c r="AJV60" s="4">
        <v>0</v>
      </c>
      <c r="AJW60" s="4">
        <v>0</v>
      </c>
      <c r="AJX60" s="4">
        <v>0</v>
      </c>
      <c r="AJY60" s="4">
        <v>0</v>
      </c>
      <c r="AJZ60" s="4">
        <v>0</v>
      </c>
      <c r="AKA60" s="4">
        <v>0</v>
      </c>
      <c r="AKB60" s="4">
        <v>0</v>
      </c>
      <c r="AKC60" s="4">
        <v>0</v>
      </c>
      <c r="AKD60" s="4">
        <v>0</v>
      </c>
      <c r="AKE60" s="4">
        <v>0</v>
      </c>
      <c r="AKF60" s="4">
        <v>0</v>
      </c>
      <c r="AKG60" s="4">
        <v>0</v>
      </c>
      <c r="AKH60" s="4">
        <v>0</v>
      </c>
      <c r="AKI60" s="4">
        <v>0</v>
      </c>
      <c r="AKJ60" s="4">
        <v>0</v>
      </c>
      <c r="AKK60" s="4">
        <v>0</v>
      </c>
      <c r="AKL60" s="4">
        <v>0</v>
      </c>
      <c r="AKM60" s="4">
        <v>2</v>
      </c>
      <c r="AKN60" s="4">
        <v>0</v>
      </c>
      <c r="AKO60" s="4">
        <v>0</v>
      </c>
      <c r="AKP60" s="4">
        <v>0</v>
      </c>
      <c r="AKQ60" s="4">
        <v>0</v>
      </c>
      <c r="AKR60" s="4">
        <v>0</v>
      </c>
      <c r="AKS60" s="4">
        <v>1</v>
      </c>
      <c r="AKT60" s="4">
        <v>0</v>
      </c>
      <c r="AKU60" s="4">
        <v>0</v>
      </c>
      <c r="AKV60" s="4">
        <v>0</v>
      </c>
      <c r="AKW60" s="4">
        <v>0</v>
      </c>
      <c r="AKX60" s="4">
        <v>0</v>
      </c>
      <c r="AKY60" s="4">
        <v>0</v>
      </c>
      <c r="AKZ60" s="4">
        <v>1</v>
      </c>
      <c r="ALA60" s="4">
        <v>0</v>
      </c>
      <c r="ALB60" s="4">
        <v>0</v>
      </c>
      <c r="ALC60" s="4">
        <v>0</v>
      </c>
      <c r="ALD60" s="4">
        <v>0</v>
      </c>
      <c r="ALE60" s="4">
        <v>5</v>
      </c>
      <c r="ALF60" s="4">
        <v>0</v>
      </c>
      <c r="ALG60" s="4">
        <v>3</v>
      </c>
      <c r="ALH60" s="4">
        <v>0</v>
      </c>
      <c r="ALI60" s="4">
        <v>0</v>
      </c>
      <c r="ALJ60" s="4">
        <v>0</v>
      </c>
      <c r="ALK60" s="4">
        <v>0</v>
      </c>
      <c r="ALL60" s="4">
        <v>0</v>
      </c>
      <c r="ALM60" s="4">
        <v>0</v>
      </c>
      <c r="ALN60" s="4">
        <v>0</v>
      </c>
      <c r="ALO60" s="4">
        <v>0</v>
      </c>
      <c r="ALP60" s="4">
        <v>0</v>
      </c>
      <c r="ALQ60" s="4">
        <v>0</v>
      </c>
      <c r="ALR60" s="4">
        <v>5</v>
      </c>
      <c r="ALS60" s="4">
        <v>0</v>
      </c>
      <c r="ALT60" s="4">
        <v>0</v>
      </c>
      <c r="ALU60" s="4">
        <v>0</v>
      </c>
      <c r="ALV60" s="4">
        <v>0</v>
      </c>
      <c r="ALW60" s="4">
        <v>0</v>
      </c>
      <c r="ALX60" s="4">
        <v>0</v>
      </c>
      <c r="ALY60" s="4">
        <v>0</v>
      </c>
      <c r="ALZ60" s="4">
        <v>0</v>
      </c>
      <c r="AMA60" s="4">
        <v>1</v>
      </c>
      <c r="AMB60" s="4">
        <v>0</v>
      </c>
      <c r="AMC60" s="4">
        <v>0</v>
      </c>
      <c r="AMD60" s="4">
        <v>0</v>
      </c>
      <c r="AME60" s="4">
        <v>0</v>
      </c>
      <c r="AMF60" s="4">
        <v>0</v>
      </c>
      <c r="AMG60" s="4">
        <v>0</v>
      </c>
      <c r="AMH60" s="4">
        <v>0</v>
      </c>
      <c r="AMI60" s="4">
        <v>0</v>
      </c>
      <c r="AMJ60" s="4">
        <v>0</v>
      </c>
      <c r="AMK60" s="4">
        <v>0</v>
      </c>
      <c r="AML60" s="4">
        <v>0</v>
      </c>
      <c r="AMM60" s="4">
        <v>0</v>
      </c>
      <c r="AMN60" s="4">
        <v>1</v>
      </c>
      <c r="AMO60" s="4">
        <v>0</v>
      </c>
      <c r="AMP60" s="4">
        <v>0</v>
      </c>
      <c r="AMQ60" s="4">
        <v>0</v>
      </c>
      <c r="AMR60" s="4">
        <v>0</v>
      </c>
      <c r="AMS60" s="4">
        <v>1</v>
      </c>
      <c r="AMT60" s="4">
        <v>0</v>
      </c>
      <c r="AMU60" s="4">
        <v>0</v>
      </c>
      <c r="AMV60" s="4">
        <v>0</v>
      </c>
      <c r="AMW60" s="4">
        <v>0</v>
      </c>
      <c r="AMX60" s="4">
        <v>0</v>
      </c>
      <c r="AMY60" s="4">
        <v>0</v>
      </c>
      <c r="AMZ60" s="4">
        <v>0</v>
      </c>
      <c r="ANA60" s="4">
        <v>0</v>
      </c>
      <c r="ANB60" s="4">
        <v>0</v>
      </c>
      <c r="ANC60" s="4">
        <v>0</v>
      </c>
      <c r="AND60" s="4">
        <v>0</v>
      </c>
      <c r="ANE60" s="4">
        <v>0</v>
      </c>
      <c r="ANF60" s="4">
        <v>0</v>
      </c>
      <c r="ANG60" s="4">
        <v>0</v>
      </c>
      <c r="ANH60" s="4">
        <v>3</v>
      </c>
      <c r="ANI60" s="4">
        <v>0</v>
      </c>
      <c r="ANJ60" s="4">
        <v>0</v>
      </c>
      <c r="ANK60" s="4">
        <v>0</v>
      </c>
      <c r="ANL60" s="4">
        <v>0</v>
      </c>
      <c r="ANM60" s="4">
        <v>0</v>
      </c>
      <c r="ANN60" s="4">
        <v>0</v>
      </c>
      <c r="ANO60" s="4">
        <v>0</v>
      </c>
      <c r="ANP60" s="4">
        <v>0</v>
      </c>
      <c r="ANQ60" s="4">
        <v>0</v>
      </c>
      <c r="ANR60" s="4">
        <v>0</v>
      </c>
      <c r="ANS60" s="4">
        <v>0</v>
      </c>
      <c r="ANT60" s="4">
        <v>0</v>
      </c>
      <c r="ANU60" s="4">
        <v>6</v>
      </c>
      <c r="ANV60" s="4">
        <v>0</v>
      </c>
      <c r="ANW60" s="4">
        <v>0</v>
      </c>
      <c r="ANX60" s="4">
        <v>2</v>
      </c>
      <c r="ANY60" s="4">
        <v>0</v>
      </c>
      <c r="ANZ60" s="4">
        <v>0</v>
      </c>
      <c r="AOA60" s="4">
        <v>0</v>
      </c>
      <c r="AOB60" s="4">
        <v>0</v>
      </c>
      <c r="AOC60" s="4">
        <v>0</v>
      </c>
      <c r="AOD60" s="4">
        <v>0</v>
      </c>
      <c r="AOE60" s="4">
        <v>0</v>
      </c>
      <c r="AOF60" s="4">
        <v>0</v>
      </c>
      <c r="AOG60" s="4">
        <v>3</v>
      </c>
      <c r="AOH60" s="4">
        <v>0</v>
      </c>
      <c r="AOI60" s="4">
        <v>0</v>
      </c>
      <c r="AOJ60" s="4">
        <v>0</v>
      </c>
      <c r="AOK60" s="4">
        <v>0</v>
      </c>
      <c r="AOL60" s="4">
        <v>0</v>
      </c>
      <c r="AOM60" s="4">
        <v>0</v>
      </c>
      <c r="AON60" s="4">
        <v>0</v>
      </c>
      <c r="AOO60" s="4">
        <v>0</v>
      </c>
      <c r="AOP60" s="4">
        <v>0</v>
      </c>
      <c r="AOQ60" s="4">
        <v>0</v>
      </c>
      <c r="AOR60" s="4">
        <v>0</v>
      </c>
      <c r="AOS60" s="4">
        <v>1</v>
      </c>
      <c r="AOT60" s="4">
        <v>0</v>
      </c>
      <c r="AOU60" s="4">
        <v>0</v>
      </c>
      <c r="AOV60" s="4">
        <v>0</v>
      </c>
      <c r="AOW60" s="4">
        <v>0</v>
      </c>
      <c r="AOX60" s="4">
        <v>0</v>
      </c>
      <c r="AOY60" s="4">
        <v>0</v>
      </c>
      <c r="AOZ60" s="4">
        <v>0</v>
      </c>
      <c r="APA60" s="4">
        <v>0</v>
      </c>
      <c r="APB60" s="4">
        <v>0</v>
      </c>
      <c r="APC60" s="4">
        <v>0</v>
      </c>
      <c r="APD60" s="4">
        <v>0</v>
      </c>
      <c r="APE60" s="4">
        <v>0</v>
      </c>
      <c r="APF60" s="4">
        <v>0</v>
      </c>
      <c r="APG60" s="4">
        <v>0</v>
      </c>
      <c r="APH60" s="4">
        <v>0</v>
      </c>
      <c r="API60" s="4">
        <v>0</v>
      </c>
      <c r="APJ60" s="4">
        <v>0</v>
      </c>
      <c r="APK60" s="4">
        <v>0</v>
      </c>
      <c r="APL60" s="4">
        <v>0</v>
      </c>
      <c r="APM60" s="4">
        <v>0</v>
      </c>
      <c r="APN60" s="4">
        <v>0</v>
      </c>
      <c r="APO60" s="4">
        <v>0</v>
      </c>
      <c r="APP60" s="4">
        <v>0</v>
      </c>
      <c r="APQ60" s="4">
        <v>0</v>
      </c>
      <c r="APR60" s="4">
        <v>0</v>
      </c>
      <c r="APS60" s="4">
        <v>0</v>
      </c>
      <c r="APT60" s="4">
        <v>0</v>
      </c>
      <c r="APU60" s="4">
        <v>0</v>
      </c>
      <c r="APV60" s="4">
        <v>0</v>
      </c>
      <c r="APW60" s="4">
        <v>0</v>
      </c>
      <c r="APX60" s="4">
        <v>0</v>
      </c>
      <c r="APY60" s="4">
        <v>0</v>
      </c>
      <c r="APZ60" s="4">
        <v>0</v>
      </c>
      <c r="AQA60" s="4">
        <v>0</v>
      </c>
      <c r="AQB60" s="4">
        <v>0</v>
      </c>
      <c r="AQC60" s="4">
        <v>0</v>
      </c>
      <c r="AQD60" s="4">
        <v>0</v>
      </c>
      <c r="AQE60" s="4">
        <v>0</v>
      </c>
      <c r="AQF60" s="4">
        <v>0</v>
      </c>
      <c r="AQG60" s="4">
        <v>0</v>
      </c>
      <c r="AQH60" s="4">
        <v>0</v>
      </c>
      <c r="AQI60" s="4">
        <v>0</v>
      </c>
      <c r="AQJ60" s="4">
        <v>0</v>
      </c>
      <c r="AQK60" s="4">
        <v>0</v>
      </c>
      <c r="AQL60" s="4">
        <v>0</v>
      </c>
      <c r="AQM60" s="4">
        <v>0</v>
      </c>
      <c r="AQN60" s="4">
        <v>0</v>
      </c>
      <c r="AQO60" s="4">
        <v>0</v>
      </c>
      <c r="AQP60" s="4">
        <v>0</v>
      </c>
      <c r="AQQ60" s="4">
        <v>0</v>
      </c>
      <c r="AQR60" s="4">
        <v>0</v>
      </c>
      <c r="AQS60" s="4">
        <v>0</v>
      </c>
      <c r="AQT60" s="4">
        <v>0</v>
      </c>
      <c r="AQU60" s="4">
        <v>0</v>
      </c>
      <c r="AQV60" s="4">
        <v>0</v>
      </c>
      <c r="AQW60" s="4">
        <v>0</v>
      </c>
      <c r="AQX60" s="4">
        <v>0</v>
      </c>
      <c r="AQY60" s="4">
        <v>1</v>
      </c>
      <c r="AQZ60" s="4">
        <v>0</v>
      </c>
      <c r="ARA60" s="4">
        <v>0</v>
      </c>
      <c r="ARB60" s="4">
        <v>0</v>
      </c>
      <c r="ARC60" s="4">
        <v>0</v>
      </c>
      <c r="ARD60" s="4">
        <v>0</v>
      </c>
      <c r="ARE60" s="4">
        <v>0</v>
      </c>
      <c r="ARF60" s="4">
        <v>0</v>
      </c>
      <c r="ARG60" s="4">
        <v>0</v>
      </c>
      <c r="ARH60" s="4">
        <v>0</v>
      </c>
      <c r="ARI60" s="4">
        <v>0</v>
      </c>
      <c r="ARJ60" s="4">
        <v>0</v>
      </c>
      <c r="ARK60" s="4">
        <v>0</v>
      </c>
      <c r="ARL60" s="4">
        <v>0</v>
      </c>
      <c r="ARM60" s="4">
        <v>0</v>
      </c>
      <c r="ARN60" s="4">
        <v>0</v>
      </c>
      <c r="ARO60" s="4">
        <v>0</v>
      </c>
      <c r="ARP60" s="4">
        <v>0</v>
      </c>
      <c r="ARQ60" s="4">
        <v>0</v>
      </c>
      <c r="ARR60" s="4">
        <v>0</v>
      </c>
      <c r="ARS60" s="4">
        <v>0</v>
      </c>
      <c r="ART60" s="4">
        <v>0</v>
      </c>
      <c r="ARU60" s="4">
        <v>0</v>
      </c>
      <c r="ARV60" s="4">
        <v>0</v>
      </c>
      <c r="ARW60" s="4">
        <v>0</v>
      </c>
      <c r="ARX60" s="4">
        <v>0</v>
      </c>
      <c r="ARY60" s="4">
        <v>0</v>
      </c>
      <c r="ARZ60" s="4">
        <v>0</v>
      </c>
      <c r="ASA60" s="4">
        <v>0</v>
      </c>
      <c r="ASB60" s="4">
        <v>0</v>
      </c>
      <c r="ASC60" s="4">
        <v>0</v>
      </c>
      <c r="ASD60" s="4">
        <v>0</v>
      </c>
      <c r="ASE60" s="4">
        <v>0</v>
      </c>
      <c r="ASF60" s="4">
        <v>0</v>
      </c>
      <c r="ASG60" s="4">
        <v>0</v>
      </c>
      <c r="ASH60" s="4">
        <v>0</v>
      </c>
      <c r="ASI60" s="4">
        <v>0</v>
      </c>
      <c r="ASJ60" s="4">
        <v>0</v>
      </c>
      <c r="ASK60" s="4">
        <v>0</v>
      </c>
      <c r="ASL60" s="4">
        <v>0</v>
      </c>
      <c r="ASM60" s="4">
        <v>0</v>
      </c>
      <c r="ASN60" s="4">
        <v>0</v>
      </c>
      <c r="ASO60" s="4">
        <v>0</v>
      </c>
      <c r="ASP60" s="4">
        <v>0</v>
      </c>
      <c r="ASQ60" s="4">
        <v>0</v>
      </c>
      <c r="ASR60" s="4">
        <v>0</v>
      </c>
      <c r="ASS60" s="4">
        <v>0</v>
      </c>
      <c r="AST60" s="4">
        <v>0</v>
      </c>
      <c r="ASU60" s="4">
        <v>0</v>
      </c>
      <c r="ASV60" s="4">
        <v>0</v>
      </c>
      <c r="ASW60" s="4">
        <v>0</v>
      </c>
      <c r="ASX60" s="4">
        <v>0</v>
      </c>
      <c r="ASY60" s="4">
        <v>0</v>
      </c>
      <c r="ASZ60" s="4">
        <v>0</v>
      </c>
      <c r="ATA60" s="4">
        <v>0</v>
      </c>
      <c r="ATB60" s="4">
        <v>0</v>
      </c>
      <c r="ATC60" s="4">
        <v>0</v>
      </c>
      <c r="ATD60" s="4">
        <v>0</v>
      </c>
      <c r="ATE60" s="4">
        <v>0</v>
      </c>
      <c r="ATF60" s="4">
        <v>0</v>
      </c>
      <c r="ATG60" s="4">
        <v>0</v>
      </c>
      <c r="ATH60" s="4">
        <v>0</v>
      </c>
      <c r="ATI60" s="4">
        <v>0</v>
      </c>
      <c r="ATJ60" s="4">
        <v>0</v>
      </c>
      <c r="ATK60" s="4">
        <v>0</v>
      </c>
      <c r="ATL60" s="4">
        <v>0</v>
      </c>
      <c r="ATM60" s="4">
        <v>0</v>
      </c>
      <c r="ATN60" s="4">
        <v>0</v>
      </c>
      <c r="ATO60" s="4">
        <v>0</v>
      </c>
      <c r="ATP60" s="4">
        <v>0</v>
      </c>
      <c r="ATQ60" s="4">
        <v>0</v>
      </c>
      <c r="ATR60" s="4">
        <v>0</v>
      </c>
      <c r="ATS60" s="4">
        <v>0</v>
      </c>
      <c r="ATT60" s="4">
        <v>0</v>
      </c>
      <c r="ATU60" s="4">
        <v>0</v>
      </c>
      <c r="ATV60" s="4">
        <v>0</v>
      </c>
      <c r="ATW60" s="4">
        <v>0</v>
      </c>
      <c r="ATX60" s="4">
        <v>0</v>
      </c>
      <c r="ATY60" s="4">
        <v>0</v>
      </c>
      <c r="ATZ60" s="4">
        <v>0</v>
      </c>
      <c r="AUA60" s="4">
        <v>0</v>
      </c>
      <c r="AUB60" s="4">
        <v>0</v>
      </c>
      <c r="AUC60" s="4">
        <v>0</v>
      </c>
      <c r="AUD60" s="4">
        <v>0</v>
      </c>
      <c r="AUE60" s="4">
        <v>0</v>
      </c>
      <c r="AUF60" s="4">
        <v>0</v>
      </c>
      <c r="AUG60" s="4">
        <v>0</v>
      </c>
      <c r="AUH60" s="4">
        <v>0</v>
      </c>
      <c r="AUI60" s="4">
        <v>0</v>
      </c>
      <c r="AUJ60" s="4">
        <v>0</v>
      </c>
      <c r="AUK60" s="4">
        <v>0</v>
      </c>
      <c r="AUL60" s="4">
        <v>0</v>
      </c>
      <c r="AUM60" s="4">
        <v>0</v>
      </c>
      <c r="AUN60" s="4">
        <v>0</v>
      </c>
      <c r="AUO60" s="4">
        <v>0</v>
      </c>
      <c r="AUP60" s="4">
        <v>0</v>
      </c>
      <c r="AUQ60" s="4">
        <v>0</v>
      </c>
      <c r="AUR60" s="4">
        <v>0</v>
      </c>
      <c r="AUS60" s="4">
        <v>0</v>
      </c>
      <c r="AUT60" s="4">
        <v>0</v>
      </c>
      <c r="AUU60" s="4">
        <v>0</v>
      </c>
      <c r="AUV60" s="4">
        <v>0</v>
      </c>
      <c r="AUW60" s="4">
        <v>0</v>
      </c>
      <c r="AUX60" s="4">
        <v>0</v>
      </c>
      <c r="AUY60" s="4">
        <v>0</v>
      </c>
      <c r="AUZ60" s="4">
        <v>0</v>
      </c>
      <c r="AVA60" s="4">
        <v>0</v>
      </c>
      <c r="AVB60" s="4">
        <v>0</v>
      </c>
      <c r="AVC60" s="4">
        <v>0</v>
      </c>
      <c r="AVD60" s="4">
        <v>0</v>
      </c>
      <c r="AVE60" s="4">
        <v>0</v>
      </c>
      <c r="AVF60" s="4">
        <v>0</v>
      </c>
      <c r="AVG60" s="4">
        <v>0</v>
      </c>
      <c r="AVH60" s="4">
        <v>0</v>
      </c>
      <c r="AVI60" s="4">
        <v>0</v>
      </c>
      <c r="AVJ60" s="4">
        <v>0</v>
      </c>
      <c r="AVK60" s="4">
        <v>0</v>
      </c>
      <c r="AVL60" s="4">
        <v>0</v>
      </c>
      <c r="AVM60" s="4">
        <v>0</v>
      </c>
      <c r="AVN60" s="4">
        <v>53</v>
      </c>
      <c r="AVO60" s="4">
        <v>13</v>
      </c>
      <c r="AVP60" s="4">
        <v>20</v>
      </c>
      <c r="AVQ60" s="4">
        <v>5</v>
      </c>
      <c r="AVR60" s="4">
        <v>0</v>
      </c>
      <c r="AVS60" s="4">
        <v>0</v>
      </c>
      <c r="AVT60" s="4">
        <v>10</v>
      </c>
      <c r="AVU60" s="4">
        <v>2</v>
      </c>
      <c r="AVV60" s="4">
        <v>1</v>
      </c>
      <c r="AVW60" s="4">
        <v>0</v>
      </c>
      <c r="AVX60" s="4">
        <v>317</v>
      </c>
      <c r="AVY60" s="4">
        <v>375</v>
      </c>
      <c r="AVZ60" s="4">
        <v>1</v>
      </c>
      <c r="AWA60" s="4">
        <v>37</v>
      </c>
      <c r="AWB60" s="4">
        <v>3</v>
      </c>
      <c r="AWC60" s="4" t="s">
        <v>1680</v>
      </c>
      <c r="AWD60" s="4">
        <v>7</v>
      </c>
      <c r="AWE60" s="4" t="s">
        <v>1671</v>
      </c>
      <c r="AWF60" s="4">
        <v>10</v>
      </c>
      <c r="AWG60" s="4">
        <v>13</v>
      </c>
      <c r="AWH60" s="4">
        <v>3</v>
      </c>
      <c r="AWI60" s="4">
        <v>0</v>
      </c>
      <c r="AWJ60" s="4">
        <v>0</v>
      </c>
      <c r="AWK60" s="4">
        <v>0</v>
      </c>
      <c r="AWL60" s="4">
        <v>0</v>
      </c>
      <c r="AWM60" s="4">
        <v>0</v>
      </c>
      <c r="AWN60" s="4">
        <v>0</v>
      </c>
      <c r="AWO60" s="4">
        <v>0</v>
      </c>
      <c r="AWP60" s="4">
        <v>0</v>
      </c>
      <c r="AWQ60" s="4">
        <v>0.65</v>
      </c>
      <c r="AWR60" s="4">
        <v>0</v>
      </c>
      <c r="AWS60" s="4">
        <v>0</v>
      </c>
      <c r="AWT60" s="4">
        <v>0</v>
      </c>
      <c r="AWU60" s="4">
        <v>0</v>
      </c>
      <c r="AWV60" s="4">
        <v>0</v>
      </c>
      <c r="AWW60" s="4">
        <v>0</v>
      </c>
      <c r="AWX60" s="4">
        <v>0</v>
      </c>
      <c r="AWY60" s="4">
        <v>0</v>
      </c>
      <c r="AWZ60" s="4">
        <v>5</v>
      </c>
      <c r="AXA60" s="4">
        <v>3</v>
      </c>
      <c r="AXB60" s="4">
        <v>0</v>
      </c>
      <c r="AXC60" s="4">
        <v>0</v>
      </c>
      <c r="AXD60" s="4">
        <v>0</v>
      </c>
      <c r="AXE60" s="4">
        <v>0</v>
      </c>
      <c r="AXF60" s="4">
        <v>0</v>
      </c>
      <c r="AXG60" s="4">
        <v>0</v>
      </c>
      <c r="AXH60" s="4">
        <v>0</v>
      </c>
      <c r="AXI60" s="4">
        <v>0</v>
      </c>
      <c r="AXJ60" s="4">
        <v>0</v>
      </c>
      <c r="AXK60" s="4">
        <v>0</v>
      </c>
      <c r="AXL60" s="4">
        <v>0</v>
      </c>
      <c r="AXM60" s="4">
        <v>0</v>
      </c>
      <c r="AXN60" s="4">
        <v>0</v>
      </c>
      <c r="AXO60" s="4">
        <v>0</v>
      </c>
      <c r="AXP60" s="4">
        <v>0</v>
      </c>
      <c r="AXQ60" s="4">
        <v>0</v>
      </c>
      <c r="AXR60" s="4">
        <v>0</v>
      </c>
      <c r="AXS60" s="4">
        <v>0</v>
      </c>
      <c r="AXT60" s="4">
        <v>0</v>
      </c>
      <c r="AXU60" s="4">
        <v>0</v>
      </c>
      <c r="AXV60" s="4">
        <v>0</v>
      </c>
      <c r="AXW60" s="4">
        <v>0</v>
      </c>
      <c r="AXX60" s="4">
        <v>0</v>
      </c>
      <c r="AXY60" s="4">
        <v>0</v>
      </c>
      <c r="AXZ60" s="4">
        <v>0</v>
      </c>
      <c r="AYA60" s="4">
        <v>0</v>
      </c>
      <c r="AYB60" s="4">
        <v>0</v>
      </c>
      <c r="AYC60" s="4">
        <v>0</v>
      </c>
      <c r="AYD60" s="4">
        <v>0</v>
      </c>
      <c r="AYE60" s="4">
        <v>0</v>
      </c>
      <c r="AYF60" s="4">
        <v>0</v>
      </c>
      <c r="AYG60" s="4">
        <v>0</v>
      </c>
      <c r="AYH60" s="4">
        <v>0</v>
      </c>
      <c r="AYI60" s="4">
        <v>0</v>
      </c>
      <c r="AYJ60" s="4">
        <v>0</v>
      </c>
      <c r="AYK60" s="4">
        <v>0</v>
      </c>
      <c r="AYL60" s="4">
        <v>0</v>
      </c>
      <c r="AYM60" s="4">
        <v>0</v>
      </c>
      <c r="AYN60" s="4">
        <v>0</v>
      </c>
      <c r="AYO60" s="4">
        <v>0</v>
      </c>
      <c r="AYP60" s="4">
        <v>0</v>
      </c>
      <c r="AYQ60" s="4">
        <v>0</v>
      </c>
      <c r="AYR60" s="4">
        <v>0</v>
      </c>
      <c r="AYS60" s="4">
        <v>0</v>
      </c>
      <c r="AYT60" s="4">
        <v>0</v>
      </c>
      <c r="AYU60" s="4">
        <v>3</v>
      </c>
      <c r="AYV60" s="4">
        <v>0</v>
      </c>
      <c r="AYW60" s="4">
        <v>0</v>
      </c>
      <c r="AYX60" s="4">
        <v>0</v>
      </c>
      <c r="AYY60" s="4">
        <v>0</v>
      </c>
      <c r="AYZ60" s="4">
        <v>0</v>
      </c>
      <c r="AZA60" s="4">
        <v>0</v>
      </c>
      <c r="AZB60" s="4">
        <v>1</v>
      </c>
      <c r="AZC60" s="4">
        <v>0</v>
      </c>
      <c r="AZD60" s="4">
        <v>0</v>
      </c>
      <c r="AZE60" s="4">
        <v>0</v>
      </c>
      <c r="AZF60" s="4">
        <v>0</v>
      </c>
      <c r="AZG60" s="4">
        <v>0</v>
      </c>
      <c r="AZH60" s="4">
        <v>0</v>
      </c>
      <c r="AZI60" s="4">
        <v>0</v>
      </c>
      <c r="AZJ60" s="4">
        <v>0</v>
      </c>
      <c r="AZK60" s="4">
        <v>0</v>
      </c>
      <c r="AZL60" s="4">
        <v>0</v>
      </c>
      <c r="AZM60" s="4">
        <v>0</v>
      </c>
      <c r="AZN60" s="4">
        <v>0</v>
      </c>
      <c r="AZO60" s="4">
        <v>0</v>
      </c>
      <c r="AZP60" s="4">
        <v>0</v>
      </c>
      <c r="AZQ60" s="4">
        <v>0</v>
      </c>
      <c r="AZR60" s="4">
        <v>0</v>
      </c>
      <c r="AZS60" s="4">
        <v>0</v>
      </c>
      <c r="AZT60" s="4">
        <v>0</v>
      </c>
      <c r="AZU60" s="4">
        <v>0</v>
      </c>
      <c r="AZV60" s="4">
        <v>0</v>
      </c>
      <c r="AZW60" s="4">
        <v>0</v>
      </c>
      <c r="AZX60" s="4">
        <v>0</v>
      </c>
      <c r="AZY60" s="4">
        <v>0</v>
      </c>
      <c r="AZZ60" s="4">
        <v>0</v>
      </c>
      <c r="BAA60" s="4">
        <v>0</v>
      </c>
      <c r="BAB60" s="4">
        <v>0</v>
      </c>
      <c r="BAC60" s="4">
        <v>0</v>
      </c>
      <c r="BAD60" s="4">
        <v>0</v>
      </c>
      <c r="BAE60" s="4">
        <v>0</v>
      </c>
      <c r="BAF60" s="4">
        <v>0</v>
      </c>
      <c r="BAG60" s="4">
        <v>0</v>
      </c>
      <c r="BAH60" s="4">
        <v>0</v>
      </c>
      <c r="BAI60" s="4">
        <v>0</v>
      </c>
      <c r="BAJ60" s="4">
        <v>0</v>
      </c>
      <c r="BAK60" s="4">
        <v>0</v>
      </c>
      <c r="BAL60" s="4">
        <v>0</v>
      </c>
      <c r="BAM60" s="4">
        <v>0</v>
      </c>
      <c r="BAN60" s="4">
        <v>0</v>
      </c>
      <c r="BAO60" s="4">
        <v>0</v>
      </c>
      <c r="BAP60" s="4">
        <v>0</v>
      </c>
      <c r="BAQ60" s="4">
        <v>0</v>
      </c>
      <c r="BAR60" s="4">
        <v>2</v>
      </c>
      <c r="BAS60" s="4">
        <v>0</v>
      </c>
      <c r="BAT60" s="4">
        <v>0</v>
      </c>
      <c r="BAU60" s="4">
        <v>0</v>
      </c>
      <c r="BAV60" s="4">
        <v>0</v>
      </c>
      <c r="BAW60" s="4">
        <v>0</v>
      </c>
      <c r="BAX60" s="4">
        <v>0</v>
      </c>
      <c r="BAY60" s="4">
        <v>0</v>
      </c>
      <c r="BAZ60" s="4">
        <v>0</v>
      </c>
      <c r="BBA60" s="4">
        <v>0</v>
      </c>
      <c r="BBB60" s="4">
        <v>0</v>
      </c>
      <c r="BBC60" s="4">
        <v>0</v>
      </c>
      <c r="BBD60" s="4">
        <v>1</v>
      </c>
      <c r="BBE60" s="4">
        <v>0</v>
      </c>
      <c r="BBF60" s="4">
        <v>5</v>
      </c>
      <c r="BBG60" s="4">
        <v>0</v>
      </c>
      <c r="BBH60" s="4">
        <v>0</v>
      </c>
      <c r="BBI60" s="4">
        <v>0</v>
      </c>
      <c r="BBJ60" s="4">
        <v>0</v>
      </c>
      <c r="BBK60" s="4">
        <v>0</v>
      </c>
      <c r="BBL60" s="4">
        <v>0</v>
      </c>
      <c r="BBM60" s="4">
        <v>0</v>
      </c>
      <c r="BBN60" s="4">
        <v>0</v>
      </c>
      <c r="BBO60" s="4">
        <v>0</v>
      </c>
      <c r="BBP60" s="4">
        <v>0</v>
      </c>
      <c r="BBQ60" s="4">
        <v>5</v>
      </c>
      <c r="BBR60" s="4">
        <v>0</v>
      </c>
      <c r="BBS60" s="4">
        <v>0</v>
      </c>
      <c r="BBT60" s="4">
        <v>0</v>
      </c>
      <c r="BBU60" s="4">
        <v>0</v>
      </c>
      <c r="BBV60" s="4">
        <v>0</v>
      </c>
      <c r="BBW60" s="4">
        <v>0</v>
      </c>
      <c r="BBX60" s="4">
        <v>0</v>
      </c>
      <c r="BBY60" s="4">
        <v>0</v>
      </c>
      <c r="BBZ60" s="4">
        <v>0</v>
      </c>
      <c r="BCA60" s="4">
        <v>0</v>
      </c>
      <c r="BCB60" s="4">
        <v>0</v>
      </c>
      <c r="BCC60" s="4">
        <v>0</v>
      </c>
      <c r="BCD60" s="4">
        <v>0</v>
      </c>
      <c r="BCE60" s="4">
        <v>0</v>
      </c>
      <c r="BCF60" s="4">
        <v>0</v>
      </c>
      <c r="BCG60" s="4">
        <v>0</v>
      </c>
      <c r="BCH60" s="4">
        <v>0</v>
      </c>
      <c r="BCI60" s="4">
        <v>0</v>
      </c>
      <c r="BCJ60" s="4">
        <v>0</v>
      </c>
      <c r="BCK60" s="4">
        <v>0</v>
      </c>
      <c r="BCL60" s="4">
        <v>0</v>
      </c>
      <c r="BCM60" s="4">
        <v>0</v>
      </c>
      <c r="BCN60" s="4">
        <v>0</v>
      </c>
      <c r="BCO60" s="4">
        <v>0</v>
      </c>
      <c r="BCP60" s="4">
        <v>0</v>
      </c>
      <c r="BCQ60" s="4">
        <v>0</v>
      </c>
      <c r="BCR60" s="4">
        <v>1</v>
      </c>
      <c r="BCS60" s="4">
        <v>0</v>
      </c>
      <c r="BCT60" s="4">
        <v>0</v>
      </c>
      <c r="BCU60" s="4">
        <v>0</v>
      </c>
      <c r="BCV60" s="4">
        <v>0</v>
      </c>
      <c r="BCW60" s="4">
        <v>0</v>
      </c>
      <c r="BCX60" s="4">
        <v>0</v>
      </c>
      <c r="BCY60" s="4">
        <v>0</v>
      </c>
      <c r="BCZ60" s="4">
        <v>0</v>
      </c>
      <c r="BDA60" s="4">
        <v>0</v>
      </c>
      <c r="BDB60" s="4">
        <v>0</v>
      </c>
      <c r="BDC60" s="4">
        <v>0</v>
      </c>
      <c r="BDD60" s="4">
        <v>0</v>
      </c>
      <c r="BDE60" s="4">
        <v>0</v>
      </c>
      <c r="BDF60" s="4">
        <v>0</v>
      </c>
      <c r="BDG60" s="4">
        <v>1</v>
      </c>
      <c r="BDH60" s="4">
        <v>0</v>
      </c>
      <c r="BDI60" s="4">
        <v>0</v>
      </c>
      <c r="BDJ60" s="4">
        <v>0</v>
      </c>
      <c r="BDK60" s="4">
        <v>0</v>
      </c>
      <c r="BDL60" s="4">
        <v>0</v>
      </c>
      <c r="BDM60" s="4">
        <v>0</v>
      </c>
      <c r="BDN60" s="4">
        <v>0</v>
      </c>
      <c r="BDO60" s="4">
        <v>0</v>
      </c>
      <c r="BDP60" s="4">
        <v>1</v>
      </c>
      <c r="BDQ60" s="4">
        <v>0</v>
      </c>
      <c r="BDR60" s="4">
        <v>0</v>
      </c>
      <c r="BDS60" s="4">
        <v>0</v>
      </c>
      <c r="BDT60" s="4">
        <v>4</v>
      </c>
      <c r="BDU60" s="4">
        <v>0</v>
      </c>
      <c r="BDV60" s="4">
        <v>0</v>
      </c>
      <c r="BDW60" s="4">
        <v>2</v>
      </c>
      <c r="BDX60" s="4">
        <v>0</v>
      </c>
      <c r="BDY60" s="4">
        <v>0</v>
      </c>
      <c r="BDZ60" s="4">
        <v>0</v>
      </c>
      <c r="BEA60" s="4">
        <v>0</v>
      </c>
      <c r="BEB60" s="4">
        <v>0</v>
      </c>
      <c r="BEC60" s="4">
        <v>0</v>
      </c>
      <c r="BED60" s="4">
        <v>0</v>
      </c>
      <c r="BEE60" s="4">
        <v>0</v>
      </c>
      <c r="BEF60" s="4">
        <v>2</v>
      </c>
      <c r="BEG60" s="4">
        <v>0</v>
      </c>
      <c r="BEH60" s="4">
        <v>0</v>
      </c>
      <c r="BEI60" s="4">
        <v>0</v>
      </c>
      <c r="BEJ60" s="4">
        <v>0</v>
      </c>
      <c r="BEK60" s="4">
        <v>0</v>
      </c>
      <c r="BEL60" s="4">
        <v>0</v>
      </c>
      <c r="BEM60" s="4">
        <v>0</v>
      </c>
      <c r="BEN60" s="4">
        <v>0</v>
      </c>
      <c r="BEO60" s="4">
        <v>0</v>
      </c>
      <c r="BEP60" s="4">
        <v>0</v>
      </c>
      <c r="BEQ60" s="4">
        <v>0</v>
      </c>
      <c r="BER60" s="4">
        <v>1</v>
      </c>
      <c r="BES60" s="4">
        <v>0</v>
      </c>
      <c r="BET60" s="4">
        <v>0</v>
      </c>
      <c r="BEU60" s="4">
        <v>0</v>
      </c>
      <c r="BEV60" s="4">
        <v>0</v>
      </c>
      <c r="BEW60" s="4">
        <v>0</v>
      </c>
      <c r="BEX60" s="4">
        <v>0</v>
      </c>
      <c r="BEY60" s="4">
        <v>0</v>
      </c>
      <c r="BEZ60" s="4">
        <v>0</v>
      </c>
      <c r="BFA60" s="4">
        <v>0</v>
      </c>
      <c r="BFB60" s="4">
        <v>0</v>
      </c>
      <c r="BFC60" s="4">
        <v>0</v>
      </c>
      <c r="BFD60" s="4">
        <v>0</v>
      </c>
      <c r="BFE60" s="4">
        <v>0</v>
      </c>
      <c r="BFF60" s="4">
        <v>0</v>
      </c>
      <c r="BFG60" s="4">
        <v>0</v>
      </c>
      <c r="BFH60" s="4">
        <v>0</v>
      </c>
      <c r="BFI60" s="4">
        <v>0</v>
      </c>
      <c r="BFJ60" s="4">
        <v>0</v>
      </c>
      <c r="BFK60" s="4">
        <v>0</v>
      </c>
      <c r="BFL60" s="4">
        <v>0</v>
      </c>
      <c r="BFM60" s="4">
        <v>0</v>
      </c>
      <c r="BFN60" s="4">
        <v>0</v>
      </c>
      <c r="BFO60" s="4">
        <v>0</v>
      </c>
      <c r="BFP60" s="4">
        <v>0</v>
      </c>
      <c r="BFQ60" s="4">
        <v>0</v>
      </c>
      <c r="BFR60" s="4">
        <v>0</v>
      </c>
      <c r="BFS60" s="4">
        <v>0</v>
      </c>
      <c r="BFT60" s="4">
        <v>0</v>
      </c>
      <c r="BFU60" s="4">
        <v>0</v>
      </c>
      <c r="BFV60" s="4">
        <v>0</v>
      </c>
      <c r="BFW60" s="4">
        <v>0</v>
      </c>
      <c r="BFX60" s="4">
        <v>0</v>
      </c>
      <c r="BFY60" s="4">
        <v>0</v>
      </c>
      <c r="BFZ60" s="4">
        <v>0</v>
      </c>
      <c r="BGA60" s="4">
        <v>0</v>
      </c>
      <c r="BGB60" s="4">
        <v>0</v>
      </c>
      <c r="BGC60" s="4">
        <v>0</v>
      </c>
      <c r="BGD60" s="4">
        <v>0</v>
      </c>
      <c r="BGE60" s="4">
        <v>0</v>
      </c>
      <c r="BGF60" s="4">
        <v>0</v>
      </c>
      <c r="BGG60" s="4">
        <v>0</v>
      </c>
      <c r="BGH60" s="4">
        <v>0</v>
      </c>
      <c r="BGI60" s="4">
        <v>0</v>
      </c>
      <c r="BGJ60" s="4">
        <v>0</v>
      </c>
      <c r="BGK60" s="4">
        <v>0</v>
      </c>
      <c r="BGL60" s="4">
        <v>0</v>
      </c>
      <c r="BGM60" s="4">
        <v>0</v>
      </c>
      <c r="BGN60" s="4">
        <v>0</v>
      </c>
      <c r="BGO60" s="4">
        <v>0</v>
      </c>
      <c r="BGP60" s="4">
        <v>0</v>
      </c>
      <c r="BGQ60" s="4">
        <v>0</v>
      </c>
      <c r="BGR60" s="4">
        <v>0</v>
      </c>
      <c r="BGS60" s="4">
        <v>0</v>
      </c>
      <c r="BGT60" s="4">
        <v>0</v>
      </c>
      <c r="BGU60" s="4">
        <v>0</v>
      </c>
      <c r="BGV60" s="4">
        <v>0</v>
      </c>
      <c r="BGW60" s="4">
        <v>0</v>
      </c>
      <c r="BGX60" s="4">
        <v>0</v>
      </c>
      <c r="BGY60" s="4">
        <v>0</v>
      </c>
      <c r="BGZ60" s="4">
        <v>0</v>
      </c>
      <c r="BHA60" s="4">
        <v>0</v>
      </c>
      <c r="BHB60" s="4">
        <v>0</v>
      </c>
      <c r="BHC60" s="4">
        <v>0</v>
      </c>
      <c r="BHD60" s="4">
        <v>0</v>
      </c>
      <c r="BHE60" s="4">
        <v>0</v>
      </c>
      <c r="BHF60" s="4">
        <v>0</v>
      </c>
      <c r="BHG60" s="4">
        <v>0</v>
      </c>
      <c r="BHH60" s="4">
        <v>0</v>
      </c>
      <c r="BHI60" s="4">
        <v>0</v>
      </c>
      <c r="BHJ60" s="4">
        <v>0</v>
      </c>
      <c r="BHK60" s="4">
        <v>0</v>
      </c>
      <c r="BHL60" s="4">
        <v>0</v>
      </c>
      <c r="BHM60" s="4">
        <v>0</v>
      </c>
      <c r="BHN60" s="4">
        <v>0</v>
      </c>
      <c r="BHO60" s="4">
        <v>0</v>
      </c>
      <c r="BHP60" s="4">
        <v>0</v>
      </c>
      <c r="BHQ60" s="4">
        <v>0</v>
      </c>
      <c r="BHR60" s="4">
        <v>0</v>
      </c>
      <c r="BHS60" s="4">
        <v>0</v>
      </c>
      <c r="BHT60" s="4">
        <v>0</v>
      </c>
      <c r="BHU60" s="4">
        <v>0</v>
      </c>
      <c r="BHV60" s="4">
        <v>0</v>
      </c>
      <c r="BHW60" s="4">
        <v>0</v>
      </c>
      <c r="BHX60" s="4">
        <v>0</v>
      </c>
      <c r="BHY60" s="4">
        <v>0</v>
      </c>
      <c r="BHZ60" s="4">
        <v>0</v>
      </c>
      <c r="BIA60" s="4">
        <v>0</v>
      </c>
      <c r="BIB60" s="4">
        <v>0</v>
      </c>
      <c r="BIC60" s="4">
        <v>0</v>
      </c>
      <c r="BID60" s="4">
        <v>0</v>
      </c>
      <c r="BIE60" s="4">
        <v>0</v>
      </c>
      <c r="BIF60" s="4">
        <v>0</v>
      </c>
      <c r="BIG60" s="4">
        <v>0</v>
      </c>
      <c r="BIH60" s="4">
        <v>0</v>
      </c>
      <c r="BII60" s="4">
        <v>0</v>
      </c>
      <c r="BIJ60" s="4">
        <v>0</v>
      </c>
      <c r="BIK60" s="4">
        <v>0</v>
      </c>
      <c r="BIL60" s="4">
        <v>0</v>
      </c>
      <c r="BIM60" s="4">
        <v>0</v>
      </c>
      <c r="BIN60" s="4">
        <v>0</v>
      </c>
      <c r="BIO60" s="4">
        <v>0</v>
      </c>
      <c r="BIP60" s="4">
        <v>0</v>
      </c>
      <c r="BIQ60" s="4">
        <v>0</v>
      </c>
      <c r="BIR60" s="4">
        <v>0</v>
      </c>
      <c r="BIS60" s="4">
        <v>0</v>
      </c>
      <c r="BIT60" s="4">
        <v>0</v>
      </c>
      <c r="BIU60" s="4">
        <v>0</v>
      </c>
      <c r="BIV60" s="4">
        <v>0</v>
      </c>
      <c r="BIW60" s="4">
        <v>0</v>
      </c>
      <c r="BIX60" s="4">
        <v>0</v>
      </c>
      <c r="BIY60" s="4">
        <v>0</v>
      </c>
      <c r="BIZ60" s="4">
        <v>0</v>
      </c>
      <c r="BJA60" s="4">
        <v>0</v>
      </c>
      <c r="BJB60" s="4">
        <v>0</v>
      </c>
      <c r="BJC60" s="4">
        <v>0</v>
      </c>
      <c r="BJD60" s="4">
        <v>0</v>
      </c>
      <c r="BJE60" s="4">
        <v>0</v>
      </c>
      <c r="BJF60" s="4">
        <v>0</v>
      </c>
      <c r="BJG60" s="4">
        <v>0</v>
      </c>
      <c r="BJH60" s="4">
        <v>0</v>
      </c>
      <c r="BJI60" s="4">
        <v>0</v>
      </c>
      <c r="BJJ60" s="4">
        <v>0</v>
      </c>
      <c r="BJK60" s="4">
        <v>0</v>
      </c>
      <c r="BJL60" s="4">
        <v>0</v>
      </c>
      <c r="BJM60" s="4">
        <v>0</v>
      </c>
      <c r="BJN60" s="4">
        <v>0</v>
      </c>
      <c r="BJO60" s="4">
        <v>0</v>
      </c>
      <c r="BJP60" s="4">
        <v>0</v>
      </c>
      <c r="BJQ60" s="4">
        <v>0</v>
      </c>
      <c r="BJR60" s="4">
        <v>0</v>
      </c>
      <c r="BJS60" s="4">
        <v>0</v>
      </c>
      <c r="BJT60" s="4">
        <v>0</v>
      </c>
      <c r="BJU60" s="4">
        <v>0</v>
      </c>
      <c r="BJV60" s="4">
        <v>0</v>
      </c>
      <c r="BJW60" s="4">
        <v>0</v>
      </c>
      <c r="BJX60" s="4">
        <v>0</v>
      </c>
      <c r="BJY60" s="4">
        <v>0</v>
      </c>
      <c r="BJZ60" s="4">
        <v>0</v>
      </c>
      <c r="BKA60" s="4">
        <v>0</v>
      </c>
      <c r="BKB60" s="4">
        <v>0</v>
      </c>
      <c r="BKC60" s="4">
        <v>0</v>
      </c>
      <c r="BKD60" s="4">
        <v>0</v>
      </c>
      <c r="BKE60" s="4">
        <v>0</v>
      </c>
      <c r="BKF60" s="4">
        <v>0</v>
      </c>
      <c r="BKG60" s="4">
        <v>0</v>
      </c>
      <c r="BKH60" s="4">
        <v>0</v>
      </c>
      <c r="BKI60" s="4">
        <v>0</v>
      </c>
      <c r="BKJ60" s="4">
        <v>0</v>
      </c>
      <c r="BKK60" s="4">
        <v>0</v>
      </c>
      <c r="BKL60" s="4">
        <v>0</v>
      </c>
      <c r="BKM60" s="4">
        <v>0</v>
      </c>
      <c r="BKN60" s="4">
        <v>0</v>
      </c>
      <c r="BKO60" s="4">
        <v>0</v>
      </c>
      <c r="BKP60" s="4">
        <v>0</v>
      </c>
      <c r="BKQ60" s="4">
        <v>0</v>
      </c>
      <c r="BKR60" s="4">
        <v>0</v>
      </c>
      <c r="BKS60" s="4">
        <v>0</v>
      </c>
      <c r="BKT60" s="4">
        <v>0</v>
      </c>
      <c r="BKU60" s="4">
        <v>0</v>
      </c>
      <c r="BKV60" s="4">
        <v>0</v>
      </c>
      <c r="BKW60" s="4">
        <v>0</v>
      </c>
      <c r="BKX60" s="4">
        <v>0</v>
      </c>
      <c r="BKY60" s="4">
        <v>0</v>
      </c>
      <c r="BKZ60" s="4">
        <v>0</v>
      </c>
      <c r="BLA60" s="4">
        <v>0</v>
      </c>
      <c r="BLB60" s="4">
        <v>0</v>
      </c>
      <c r="BLC60" s="4">
        <v>0</v>
      </c>
      <c r="BLD60" s="4">
        <v>0</v>
      </c>
      <c r="BLE60" s="4">
        <v>0</v>
      </c>
      <c r="BLF60" s="4">
        <v>0</v>
      </c>
      <c r="BLG60" s="4">
        <v>0</v>
      </c>
      <c r="BLH60" s="4">
        <v>0</v>
      </c>
      <c r="BLI60" s="4">
        <v>0</v>
      </c>
      <c r="BLJ60" s="4">
        <v>0</v>
      </c>
      <c r="BLK60" s="4">
        <v>0</v>
      </c>
    </row>
    <row r="61" spans="1:1675" x14ac:dyDescent="0.2">
      <c r="A61">
        <v>5</v>
      </c>
      <c r="B61">
        <v>17</v>
      </c>
      <c r="C61">
        <f t="shared" si="16"/>
        <v>80</v>
      </c>
      <c r="D61">
        <f t="shared" si="14"/>
        <v>976</v>
      </c>
      <c r="E61">
        <f t="shared" si="15"/>
        <v>60</v>
      </c>
      <c r="F61">
        <f t="shared" si="17"/>
        <v>11</v>
      </c>
      <c r="G61">
        <f t="shared" si="18"/>
        <v>3</v>
      </c>
      <c r="H61" cm="1">
        <f t="array" ref="H61">_xlfn.IFS(P61=0, 1, P61=7, 2, P61=5, 3)</f>
        <v>1</v>
      </c>
      <c r="I61" cm="1">
        <f t="array" ref="I61">_xlfn.IFS(H61=1, IF(AC61=0, P61, PO61), H61=2, IF(AC61=0, P61, AFN61), H61=3, IF(AC61=0, P61, AVM61))</f>
        <v>0</v>
      </c>
      <c r="J61" cm="1">
        <f t="array" ref="J61">_xlfn.IFS(I61=0, 1, I61=1, 0, I61=2, 7, I61=7, 2, I61=5, 6, I61=6, 5)</f>
        <v>1</v>
      </c>
      <c r="K61" t="str" cm="1">
        <f t="array" ref="K61">_xlfn.IFNA(_xlfn.IFS(P61&lt;&gt;P62, 1, A61&lt;&gt;A62, IF(P62=P61, 1)), "")</f>
        <v/>
      </c>
      <c r="L61" t="str">
        <f t="shared" si="7"/>
        <v/>
      </c>
      <c r="M61" t="s">
        <v>1747</v>
      </c>
      <c r="N61" s="4" t="s">
        <v>1760</v>
      </c>
      <c r="O61" s="4"/>
      <c r="P61" s="4">
        <v>0</v>
      </c>
      <c r="Q61" s="4">
        <v>86</v>
      </c>
      <c r="R61" s="4">
        <v>19</v>
      </c>
      <c r="S61" s="4">
        <v>10</v>
      </c>
      <c r="T61" s="4">
        <v>2</v>
      </c>
      <c r="U61" s="4">
        <v>0</v>
      </c>
      <c r="V61" s="4">
        <v>0</v>
      </c>
      <c r="W61" s="4">
        <v>13</v>
      </c>
      <c r="X61" s="4">
        <v>0</v>
      </c>
      <c r="Y61" s="4">
        <v>5</v>
      </c>
      <c r="Z61" s="4">
        <v>1</v>
      </c>
      <c r="AA61" s="4">
        <v>428</v>
      </c>
      <c r="AB61" s="4">
        <v>458</v>
      </c>
      <c r="AC61" s="4">
        <v>0</v>
      </c>
      <c r="AD61" s="4">
        <v>42</v>
      </c>
      <c r="AE61" s="4">
        <v>4</v>
      </c>
      <c r="AF61" s="4" t="s">
        <v>1680</v>
      </c>
      <c r="AG61" s="4">
        <v>12</v>
      </c>
      <c r="AH61" s="4" t="s">
        <v>1671</v>
      </c>
      <c r="AI61" s="4">
        <v>5</v>
      </c>
      <c r="AJ61" s="4">
        <v>18</v>
      </c>
      <c r="AK61" s="4">
        <v>8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1.9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2</v>
      </c>
      <c r="BD61" s="4">
        <v>3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2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3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1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1</v>
      </c>
      <c r="FC61" s="4">
        <v>0</v>
      </c>
      <c r="FD61" s="4">
        <v>0</v>
      </c>
      <c r="FE61" s="4">
        <v>0</v>
      </c>
      <c r="FF61" s="4">
        <v>0</v>
      </c>
      <c r="FG61" s="4">
        <v>4</v>
      </c>
      <c r="FH61" s="4">
        <v>0</v>
      </c>
      <c r="FI61" s="4">
        <v>3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2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1</v>
      </c>
      <c r="GQ61" s="4">
        <v>0</v>
      </c>
      <c r="GR61" s="4">
        <v>0</v>
      </c>
      <c r="GS61" s="4">
        <v>0</v>
      </c>
      <c r="GT61" s="4">
        <v>0</v>
      </c>
      <c r="GU61" s="4">
        <v>3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1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5</v>
      </c>
      <c r="HX61" s="4">
        <v>0</v>
      </c>
      <c r="HY61" s="4">
        <v>0</v>
      </c>
      <c r="HZ61" s="4">
        <v>8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1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2</v>
      </c>
      <c r="JG61" s="4">
        <v>0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s="4">
        <v>0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0</v>
      </c>
      <c r="LW61" s="4">
        <v>0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0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4">
        <v>0</v>
      </c>
      <c r="PH61" s="4">
        <v>0</v>
      </c>
      <c r="PI61" s="4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1</v>
      </c>
      <c r="PP61" s="4">
        <v>55</v>
      </c>
      <c r="PQ61" s="4">
        <v>9</v>
      </c>
      <c r="PR61" s="4">
        <v>16</v>
      </c>
      <c r="PS61" s="4">
        <v>3</v>
      </c>
      <c r="PT61" s="4">
        <v>0</v>
      </c>
      <c r="PU61" s="4">
        <v>0</v>
      </c>
      <c r="PV61" s="4">
        <v>5</v>
      </c>
      <c r="PW61" s="4">
        <v>1</v>
      </c>
      <c r="PX61" s="4">
        <v>3</v>
      </c>
      <c r="PY61" s="4">
        <v>0</v>
      </c>
      <c r="PZ61" s="4">
        <v>410</v>
      </c>
      <c r="QA61" s="4">
        <v>458</v>
      </c>
      <c r="QB61" s="4">
        <v>1</v>
      </c>
      <c r="QC61" s="4">
        <v>28</v>
      </c>
      <c r="QD61" s="4">
        <v>3</v>
      </c>
      <c r="QE61" s="4" t="s">
        <v>1676</v>
      </c>
      <c r="QF61" s="4">
        <v>5</v>
      </c>
      <c r="QG61" s="4" t="s">
        <v>1676</v>
      </c>
      <c r="QH61" s="4">
        <v>12</v>
      </c>
      <c r="QI61" s="4">
        <v>19</v>
      </c>
      <c r="QJ61" s="4">
        <v>2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0.56000000000000005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3</v>
      </c>
      <c r="RC61" s="4">
        <v>3</v>
      </c>
      <c r="RD61" s="4">
        <v>0</v>
      </c>
      <c r="RE61" s="4">
        <v>0</v>
      </c>
      <c r="RF61" s="4">
        <v>0</v>
      </c>
      <c r="RG61" s="4">
        <v>0</v>
      </c>
      <c r="RH61" s="4">
        <v>0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1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4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0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1</v>
      </c>
      <c r="UU61" s="4">
        <v>0</v>
      </c>
      <c r="UV61" s="4">
        <v>0</v>
      </c>
      <c r="UW61" s="4">
        <v>0</v>
      </c>
      <c r="UX61" s="4">
        <v>0</v>
      </c>
      <c r="UY61" s="4">
        <v>1</v>
      </c>
      <c r="UZ61" s="4">
        <v>0</v>
      </c>
      <c r="VA61" s="4">
        <v>1</v>
      </c>
      <c r="VB61" s="4">
        <v>0</v>
      </c>
      <c r="VC61" s="4">
        <v>0</v>
      </c>
      <c r="VD61" s="4">
        <v>0</v>
      </c>
      <c r="VE61" s="4">
        <v>0</v>
      </c>
      <c r="VF61" s="4">
        <v>3</v>
      </c>
      <c r="VG61" s="4">
        <v>0</v>
      </c>
      <c r="VH61" s="4">
        <v>2</v>
      </c>
      <c r="VI61" s="4">
        <v>0</v>
      </c>
      <c r="VJ61" s="4">
        <v>0</v>
      </c>
      <c r="VK61" s="4">
        <v>0</v>
      </c>
      <c r="VL61" s="4">
        <v>0</v>
      </c>
      <c r="VM61" s="4">
        <v>0</v>
      </c>
      <c r="VN61" s="4">
        <v>0</v>
      </c>
      <c r="VO61" s="4">
        <v>0</v>
      </c>
      <c r="VP61" s="4">
        <v>0</v>
      </c>
      <c r="VQ61" s="4">
        <v>0</v>
      </c>
      <c r="VR61" s="4">
        <v>0</v>
      </c>
      <c r="VS61" s="4">
        <v>1</v>
      </c>
      <c r="VT61" s="4">
        <v>0</v>
      </c>
      <c r="VU61" s="4">
        <v>0</v>
      </c>
      <c r="VV61" s="4">
        <v>0</v>
      </c>
      <c r="VW61" s="4">
        <v>0</v>
      </c>
      <c r="VX61" s="4">
        <v>0</v>
      </c>
      <c r="VY61" s="4">
        <v>0</v>
      </c>
      <c r="VZ61" s="4">
        <v>0</v>
      </c>
      <c r="WA61" s="4">
        <v>0</v>
      </c>
      <c r="WB61" s="4">
        <v>0</v>
      </c>
      <c r="WC61" s="4">
        <v>0</v>
      </c>
      <c r="WD61" s="4">
        <v>0</v>
      </c>
      <c r="WE61" s="4">
        <v>0</v>
      </c>
      <c r="WF61" s="4">
        <v>0</v>
      </c>
      <c r="WG61" s="4">
        <v>0</v>
      </c>
      <c r="WH61" s="4">
        <v>0</v>
      </c>
      <c r="WI61" s="4">
        <v>0</v>
      </c>
      <c r="WJ61" s="4">
        <v>0</v>
      </c>
      <c r="WK61" s="4">
        <v>0</v>
      </c>
      <c r="WL61" s="4">
        <v>0</v>
      </c>
      <c r="WM61" s="4">
        <v>2</v>
      </c>
      <c r="WN61" s="4">
        <v>0</v>
      </c>
      <c r="WO61" s="4">
        <v>0</v>
      </c>
      <c r="WP61" s="4">
        <v>0</v>
      </c>
      <c r="WQ61" s="4">
        <v>0</v>
      </c>
      <c r="WR61" s="4">
        <v>0</v>
      </c>
      <c r="WS61" s="4">
        <v>0</v>
      </c>
      <c r="WT61" s="4">
        <v>1</v>
      </c>
      <c r="WU61" s="4">
        <v>0</v>
      </c>
      <c r="WV61" s="4">
        <v>0</v>
      </c>
      <c r="WW61" s="4">
        <v>0</v>
      </c>
      <c r="WX61" s="4">
        <v>0</v>
      </c>
      <c r="WY61" s="4">
        <v>0</v>
      </c>
      <c r="WZ61" s="4">
        <v>0</v>
      </c>
      <c r="XA61" s="4">
        <v>0</v>
      </c>
      <c r="XB61" s="4">
        <v>0</v>
      </c>
      <c r="XC61" s="4">
        <v>0</v>
      </c>
      <c r="XD61" s="4">
        <v>0</v>
      </c>
      <c r="XE61" s="4">
        <v>0</v>
      </c>
      <c r="XF61" s="4">
        <v>0</v>
      </c>
      <c r="XG61" s="4">
        <v>0</v>
      </c>
      <c r="XH61" s="4">
        <v>0</v>
      </c>
      <c r="XI61" s="4">
        <v>1</v>
      </c>
      <c r="XJ61" s="4">
        <v>0</v>
      </c>
      <c r="XK61" s="4">
        <v>0</v>
      </c>
      <c r="XL61" s="4">
        <v>0</v>
      </c>
      <c r="XM61" s="4">
        <v>0</v>
      </c>
      <c r="XN61" s="4">
        <v>0</v>
      </c>
      <c r="XO61" s="4">
        <v>0</v>
      </c>
      <c r="XP61" s="4">
        <v>0</v>
      </c>
      <c r="XQ61" s="4">
        <v>0</v>
      </c>
      <c r="XR61" s="4">
        <v>0</v>
      </c>
      <c r="XS61" s="4">
        <v>0</v>
      </c>
      <c r="XT61" s="4">
        <v>0</v>
      </c>
      <c r="XU61" s="4">
        <v>0</v>
      </c>
      <c r="XV61" s="4">
        <v>3</v>
      </c>
      <c r="XW61" s="4">
        <v>0</v>
      </c>
      <c r="XX61" s="4">
        <v>0</v>
      </c>
      <c r="XY61" s="4">
        <v>1</v>
      </c>
      <c r="XZ61" s="4">
        <v>0</v>
      </c>
      <c r="YA61" s="4">
        <v>0</v>
      </c>
      <c r="YB61" s="4">
        <v>0</v>
      </c>
      <c r="YC61" s="4">
        <v>0</v>
      </c>
      <c r="YD61" s="4">
        <v>0</v>
      </c>
      <c r="YE61" s="4">
        <v>0</v>
      </c>
      <c r="YF61" s="4">
        <v>0</v>
      </c>
      <c r="YG61" s="4">
        <v>0</v>
      </c>
      <c r="YH61" s="4">
        <v>0</v>
      </c>
      <c r="YI61" s="4">
        <v>0</v>
      </c>
      <c r="YJ61" s="4">
        <v>0</v>
      </c>
      <c r="YK61" s="4">
        <v>0</v>
      </c>
      <c r="YL61" s="4">
        <v>0</v>
      </c>
      <c r="YM61" s="4">
        <v>0</v>
      </c>
      <c r="YN61" s="4">
        <v>0</v>
      </c>
      <c r="YO61" s="4">
        <v>0</v>
      </c>
      <c r="YP61" s="4">
        <v>0</v>
      </c>
      <c r="YQ61" s="4">
        <v>0</v>
      </c>
      <c r="YR61" s="4">
        <v>0</v>
      </c>
      <c r="YS61" s="4">
        <v>0</v>
      </c>
      <c r="YT61" s="4">
        <v>0</v>
      </c>
      <c r="YU61" s="4">
        <v>0</v>
      </c>
      <c r="YV61" s="4">
        <v>0</v>
      </c>
      <c r="YW61" s="4">
        <v>0</v>
      </c>
      <c r="YX61" s="4">
        <v>0</v>
      </c>
      <c r="YY61" s="4">
        <v>0</v>
      </c>
      <c r="YZ61" s="4">
        <v>0</v>
      </c>
      <c r="ZA61" s="4">
        <v>0</v>
      </c>
      <c r="ZB61" s="4">
        <v>0</v>
      </c>
      <c r="ZC61" s="4">
        <v>0</v>
      </c>
      <c r="ZD61" s="4">
        <v>0</v>
      </c>
      <c r="ZE61" s="4">
        <v>0</v>
      </c>
      <c r="ZF61" s="4">
        <v>0</v>
      </c>
      <c r="ZG61" s="4">
        <v>0</v>
      </c>
      <c r="ZH61" s="4">
        <v>0</v>
      </c>
      <c r="ZI61" s="4">
        <v>0</v>
      </c>
      <c r="ZJ61" s="4">
        <v>0</v>
      </c>
      <c r="ZK61" s="4">
        <v>0</v>
      </c>
      <c r="ZL61" s="4">
        <v>0</v>
      </c>
      <c r="ZM61" s="4">
        <v>0</v>
      </c>
      <c r="ZN61" s="4">
        <v>0</v>
      </c>
      <c r="ZO61" s="4">
        <v>0</v>
      </c>
      <c r="ZP61" s="4">
        <v>0</v>
      </c>
      <c r="ZQ61" s="4">
        <v>0</v>
      </c>
      <c r="ZR61" s="4">
        <v>0</v>
      </c>
      <c r="ZS61" s="4">
        <v>0</v>
      </c>
      <c r="ZT61" s="4">
        <v>0</v>
      </c>
      <c r="ZU61" s="4">
        <v>0</v>
      </c>
      <c r="ZV61" s="4">
        <v>0</v>
      </c>
      <c r="ZW61" s="4">
        <v>0</v>
      </c>
      <c r="ZX61" s="4">
        <v>0</v>
      </c>
      <c r="ZY61" s="4">
        <v>0</v>
      </c>
      <c r="ZZ61" s="4">
        <v>0</v>
      </c>
      <c r="AAA61" s="4">
        <v>0</v>
      </c>
      <c r="AAB61" s="4">
        <v>0</v>
      </c>
      <c r="AAC61" s="4">
        <v>0</v>
      </c>
      <c r="AAD61" s="4">
        <v>0</v>
      </c>
      <c r="AAE61" s="4">
        <v>0</v>
      </c>
      <c r="AAF61" s="4">
        <v>0</v>
      </c>
      <c r="AAG61" s="4">
        <v>0</v>
      </c>
      <c r="AAH61" s="4">
        <v>0</v>
      </c>
      <c r="AAI61" s="4">
        <v>0</v>
      </c>
      <c r="AAJ61" s="4">
        <v>0</v>
      </c>
      <c r="AAK61" s="4">
        <v>0</v>
      </c>
      <c r="AAL61" s="4">
        <v>0</v>
      </c>
      <c r="AAM61" s="4">
        <v>0</v>
      </c>
      <c r="AAN61" s="4">
        <v>0</v>
      </c>
      <c r="AAO61" s="4">
        <v>0</v>
      </c>
      <c r="AAP61" s="4">
        <v>0</v>
      </c>
      <c r="AAQ61" s="4">
        <v>0</v>
      </c>
      <c r="AAR61" s="4">
        <v>0</v>
      </c>
      <c r="AAS61" s="4">
        <v>0</v>
      </c>
      <c r="AAT61" s="4">
        <v>0</v>
      </c>
      <c r="AAU61" s="4">
        <v>0</v>
      </c>
      <c r="AAV61" s="4">
        <v>0</v>
      </c>
      <c r="AAW61" s="4">
        <v>0</v>
      </c>
      <c r="AAX61" s="4">
        <v>0</v>
      </c>
      <c r="AAY61" s="4">
        <v>0</v>
      </c>
      <c r="AAZ61" s="4">
        <v>0</v>
      </c>
      <c r="ABA61" s="4">
        <v>0</v>
      </c>
      <c r="ABB61" s="4">
        <v>0</v>
      </c>
      <c r="ABC61" s="4">
        <v>0</v>
      </c>
      <c r="ABD61" s="4">
        <v>0</v>
      </c>
      <c r="ABE61" s="4">
        <v>0</v>
      </c>
      <c r="ABF61" s="4">
        <v>0</v>
      </c>
      <c r="ABG61" s="4">
        <v>0</v>
      </c>
      <c r="ABH61" s="4">
        <v>0</v>
      </c>
      <c r="ABI61" s="4">
        <v>0</v>
      </c>
      <c r="ABJ61" s="4">
        <v>0</v>
      </c>
      <c r="ABK61" s="4">
        <v>0</v>
      </c>
      <c r="ABL61" s="4">
        <v>0</v>
      </c>
      <c r="ABM61" s="4">
        <v>0</v>
      </c>
      <c r="ABN61" s="4">
        <v>0</v>
      </c>
      <c r="ABO61" s="4">
        <v>0</v>
      </c>
      <c r="ABP61" s="4">
        <v>0</v>
      </c>
      <c r="ABQ61" s="4">
        <v>0</v>
      </c>
      <c r="ABR61" s="4">
        <v>0</v>
      </c>
      <c r="ABS61" s="4">
        <v>0</v>
      </c>
      <c r="ABT61" s="4">
        <v>0</v>
      </c>
      <c r="ABU61" s="4">
        <v>0</v>
      </c>
      <c r="ABV61" s="4">
        <v>0</v>
      </c>
      <c r="ABW61" s="4">
        <v>0</v>
      </c>
      <c r="ABX61" s="4">
        <v>0</v>
      </c>
      <c r="ABY61" s="4">
        <v>0</v>
      </c>
      <c r="ABZ61" s="4">
        <v>0</v>
      </c>
      <c r="ACA61" s="4">
        <v>0</v>
      </c>
      <c r="ACB61" s="4">
        <v>0</v>
      </c>
      <c r="ACC61" s="4">
        <v>0</v>
      </c>
      <c r="ACD61" s="4">
        <v>0</v>
      </c>
      <c r="ACE61" s="4">
        <v>0</v>
      </c>
      <c r="ACF61" s="4">
        <v>0</v>
      </c>
      <c r="ACG61" s="4">
        <v>0</v>
      </c>
      <c r="ACH61" s="4">
        <v>0</v>
      </c>
      <c r="ACI61" s="4">
        <v>0</v>
      </c>
      <c r="ACJ61" s="4">
        <v>0</v>
      </c>
      <c r="ACK61" s="4">
        <v>0</v>
      </c>
      <c r="ACL61" s="4">
        <v>0</v>
      </c>
      <c r="ACM61" s="4">
        <v>0</v>
      </c>
      <c r="ACN61" s="4">
        <v>0</v>
      </c>
      <c r="ACO61" s="4">
        <v>0</v>
      </c>
      <c r="ACP61" s="4">
        <v>0</v>
      </c>
      <c r="ACQ61" s="4">
        <v>0</v>
      </c>
      <c r="ACR61" s="4">
        <v>0</v>
      </c>
      <c r="ACS61" s="4">
        <v>0</v>
      </c>
      <c r="ACT61" s="4">
        <v>0</v>
      </c>
      <c r="ACU61" s="4">
        <v>0</v>
      </c>
      <c r="ACV61" s="4">
        <v>0</v>
      </c>
      <c r="ACW61" s="4">
        <v>0</v>
      </c>
      <c r="ACX61" s="4">
        <v>0</v>
      </c>
      <c r="ACY61" s="4">
        <v>0</v>
      </c>
      <c r="ACZ61" s="4">
        <v>0</v>
      </c>
      <c r="ADA61" s="4">
        <v>0</v>
      </c>
      <c r="ADB61" s="4">
        <v>0</v>
      </c>
      <c r="ADC61" s="4">
        <v>0</v>
      </c>
      <c r="ADD61" s="4">
        <v>0</v>
      </c>
      <c r="ADE61" s="4">
        <v>0</v>
      </c>
      <c r="ADF61" s="4">
        <v>0</v>
      </c>
      <c r="ADG61" s="4">
        <v>0</v>
      </c>
      <c r="ADH61" s="4">
        <v>0</v>
      </c>
      <c r="ADI61" s="4">
        <v>0</v>
      </c>
      <c r="ADJ61" s="4">
        <v>0</v>
      </c>
      <c r="ADK61" s="4">
        <v>0</v>
      </c>
      <c r="ADL61" s="4">
        <v>0</v>
      </c>
      <c r="ADM61" s="4">
        <v>0</v>
      </c>
      <c r="ADN61" s="4">
        <v>0</v>
      </c>
      <c r="ADO61" s="4">
        <v>0</v>
      </c>
      <c r="ADP61" s="4">
        <v>0</v>
      </c>
      <c r="ADQ61" s="4">
        <v>0</v>
      </c>
      <c r="ADR61" s="4">
        <v>0</v>
      </c>
      <c r="ADS61" s="4">
        <v>0</v>
      </c>
      <c r="ADT61" s="4">
        <v>0</v>
      </c>
      <c r="ADU61" s="4">
        <v>0</v>
      </c>
      <c r="ADV61" s="4">
        <v>0</v>
      </c>
      <c r="ADW61" s="4">
        <v>0</v>
      </c>
      <c r="ADX61" s="4">
        <v>0</v>
      </c>
      <c r="ADY61" s="4">
        <v>0</v>
      </c>
      <c r="ADZ61" s="4">
        <v>0</v>
      </c>
      <c r="AEA61" s="4">
        <v>0</v>
      </c>
      <c r="AEB61" s="4">
        <v>0</v>
      </c>
      <c r="AEC61" s="4">
        <v>0</v>
      </c>
      <c r="AED61" s="4">
        <v>0</v>
      </c>
      <c r="AEE61" s="4">
        <v>0</v>
      </c>
      <c r="AEF61" s="4">
        <v>0</v>
      </c>
      <c r="AEG61" s="4">
        <v>0</v>
      </c>
      <c r="AEH61" s="4">
        <v>0</v>
      </c>
      <c r="AEI61" s="4">
        <v>0</v>
      </c>
      <c r="AEJ61" s="4">
        <v>0</v>
      </c>
      <c r="AEK61" s="4">
        <v>0</v>
      </c>
      <c r="AEL61" s="4">
        <v>0</v>
      </c>
      <c r="AEM61" s="4">
        <v>0</v>
      </c>
      <c r="AEN61" s="4">
        <v>0</v>
      </c>
      <c r="AEO61" s="4">
        <v>0</v>
      </c>
      <c r="AEP61" s="4">
        <v>0</v>
      </c>
      <c r="AEQ61" s="4">
        <v>0</v>
      </c>
      <c r="AER61" s="4">
        <v>0</v>
      </c>
      <c r="AES61" s="4">
        <v>0</v>
      </c>
      <c r="AET61" s="4">
        <v>0</v>
      </c>
      <c r="AEU61" s="4">
        <v>0</v>
      </c>
      <c r="AEV61" s="4">
        <v>0</v>
      </c>
      <c r="AEW61" s="4">
        <v>0</v>
      </c>
      <c r="AEX61" s="4">
        <v>0</v>
      </c>
      <c r="AEY61" s="4">
        <v>0</v>
      </c>
      <c r="AEZ61" s="4">
        <v>0</v>
      </c>
      <c r="AFA61" s="4">
        <v>0</v>
      </c>
      <c r="AFB61" s="4">
        <v>0</v>
      </c>
      <c r="AFC61" s="4">
        <v>0</v>
      </c>
      <c r="AFD61" s="4">
        <v>0</v>
      </c>
      <c r="AFE61" s="4">
        <v>0</v>
      </c>
      <c r="AFF61" s="4">
        <v>0</v>
      </c>
      <c r="AFG61" s="4">
        <v>0</v>
      </c>
      <c r="AFH61" s="4">
        <v>0</v>
      </c>
      <c r="AFI61" s="4">
        <v>0</v>
      </c>
      <c r="AFJ61" s="4">
        <v>0</v>
      </c>
      <c r="AFK61" s="4">
        <v>0</v>
      </c>
      <c r="AFL61" s="4">
        <v>0</v>
      </c>
      <c r="AFM61" s="4">
        <v>0</v>
      </c>
      <c r="AFN61" s="4">
        <v>1</v>
      </c>
      <c r="AFO61" s="4">
        <v>91</v>
      </c>
      <c r="AFP61" s="4">
        <v>14</v>
      </c>
      <c r="AFQ61" s="4">
        <v>12</v>
      </c>
      <c r="AFR61" s="4">
        <v>4</v>
      </c>
      <c r="AFS61" s="4">
        <v>0</v>
      </c>
      <c r="AFT61" s="4">
        <v>0</v>
      </c>
      <c r="AFU61" s="4">
        <v>6</v>
      </c>
      <c r="AFV61" s="4">
        <v>2</v>
      </c>
      <c r="AFW61" s="4">
        <v>5</v>
      </c>
      <c r="AFX61" s="4">
        <v>1</v>
      </c>
      <c r="AFY61" s="4">
        <v>422</v>
      </c>
      <c r="AFZ61" s="4">
        <v>458</v>
      </c>
      <c r="AGA61" s="4">
        <v>1</v>
      </c>
      <c r="AGB61" s="4">
        <v>32</v>
      </c>
      <c r="AGC61" s="4">
        <v>4</v>
      </c>
      <c r="AGD61" s="4" t="s">
        <v>1678</v>
      </c>
      <c r="AGE61" s="4">
        <v>9</v>
      </c>
      <c r="AGF61" s="4" t="s">
        <v>1676</v>
      </c>
      <c r="AGG61" s="4">
        <v>7</v>
      </c>
      <c r="AGH61" s="4">
        <v>26</v>
      </c>
      <c r="AGI61" s="4">
        <v>2</v>
      </c>
      <c r="AGJ61" s="4">
        <v>0</v>
      </c>
      <c r="AGK61" s="4">
        <v>0</v>
      </c>
      <c r="AGL61" s="4">
        <v>0</v>
      </c>
      <c r="AGM61" s="4">
        <v>0</v>
      </c>
      <c r="AGN61" s="4">
        <v>0</v>
      </c>
      <c r="AGO61" s="4">
        <v>0</v>
      </c>
      <c r="AGP61" s="4">
        <v>0</v>
      </c>
      <c r="AGQ61" s="4">
        <v>0</v>
      </c>
      <c r="AGR61" s="4">
        <v>1.17</v>
      </c>
      <c r="AGS61" s="4">
        <v>0</v>
      </c>
      <c r="AGT61" s="4">
        <v>0</v>
      </c>
      <c r="AGU61" s="4">
        <v>0</v>
      </c>
      <c r="AGV61" s="4">
        <v>0</v>
      </c>
      <c r="AGW61" s="4">
        <v>0</v>
      </c>
      <c r="AGX61" s="4">
        <v>0</v>
      </c>
      <c r="AGY61" s="4">
        <v>0</v>
      </c>
      <c r="AGZ61" s="4">
        <v>0</v>
      </c>
      <c r="AHA61" s="4">
        <v>4</v>
      </c>
      <c r="AHB61" s="4">
        <v>2</v>
      </c>
      <c r="AHC61" s="4">
        <v>0</v>
      </c>
      <c r="AHD61" s="4">
        <v>0</v>
      </c>
      <c r="AHE61" s="4">
        <v>0</v>
      </c>
      <c r="AHF61" s="4">
        <v>0</v>
      </c>
      <c r="AHG61" s="4">
        <v>0</v>
      </c>
      <c r="AHH61" s="4">
        <v>0</v>
      </c>
      <c r="AHI61" s="4">
        <v>0</v>
      </c>
      <c r="AHJ61" s="4">
        <v>0</v>
      </c>
      <c r="AHK61" s="4">
        <v>0</v>
      </c>
      <c r="AHL61" s="4">
        <v>0</v>
      </c>
      <c r="AHM61" s="4">
        <v>0</v>
      </c>
      <c r="AHN61" s="4">
        <v>0</v>
      </c>
      <c r="AHO61" s="4">
        <v>0</v>
      </c>
      <c r="AHP61" s="4">
        <v>0</v>
      </c>
      <c r="AHQ61" s="4">
        <v>0</v>
      </c>
      <c r="AHR61" s="4">
        <v>0</v>
      </c>
      <c r="AHS61" s="4">
        <v>0</v>
      </c>
      <c r="AHT61" s="4">
        <v>0</v>
      </c>
      <c r="AHU61" s="4">
        <v>0</v>
      </c>
      <c r="AHV61" s="4">
        <v>0</v>
      </c>
      <c r="AHW61" s="4">
        <v>0</v>
      </c>
      <c r="AHX61" s="4">
        <v>0</v>
      </c>
      <c r="AHY61" s="4">
        <v>0</v>
      </c>
      <c r="AHZ61" s="4">
        <v>0</v>
      </c>
      <c r="AIA61" s="4">
        <v>0</v>
      </c>
      <c r="AIB61" s="4">
        <v>0</v>
      </c>
      <c r="AIC61" s="4">
        <v>0</v>
      </c>
      <c r="AID61" s="4">
        <v>0</v>
      </c>
      <c r="AIE61" s="4">
        <v>0</v>
      </c>
      <c r="AIF61" s="4">
        <v>0</v>
      </c>
      <c r="AIG61" s="4">
        <v>0</v>
      </c>
      <c r="AIH61" s="4">
        <v>0</v>
      </c>
      <c r="AII61" s="4">
        <v>0</v>
      </c>
      <c r="AIJ61" s="4">
        <v>1</v>
      </c>
      <c r="AIK61" s="4">
        <v>0</v>
      </c>
      <c r="AIL61" s="4">
        <v>0</v>
      </c>
      <c r="AIM61" s="4">
        <v>0</v>
      </c>
      <c r="AIN61" s="4">
        <v>0</v>
      </c>
      <c r="AIO61" s="4">
        <v>0</v>
      </c>
      <c r="AIP61" s="4">
        <v>0</v>
      </c>
      <c r="AIQ61" s="4">
        <v>0</v>
      </c>
      <c r="AIR61" s="4">
        <v>0</v>
      </c>
      <c r="AIS61" s="4">
        <v>0</v>
      </c>
      <c r="AIT61" s="4">
        <v>0</v>
      </c>
      <c r="AIU61" s="4">
        <v>1</v>
      </c>
      <c r="AIV61" s="4">
        <v>1</v>
      </c>
      <c r="AIW61" s="4">
        <v>0</v>
      </c>
      <c r="AIX61" s="4">
        <v>0</v>
      </c>
      <c r="AIY61" s="4">
        <v>0</v>
      </c>
      <c r="AIZ61" s="4">
        <v>0</v>
      </c>
      <c r="AJA61" s="4">
        <v>0</v>
      </c>
      <c r="AJB61" s="4">
        <v>0</v>
      </c>
      <c r="AJC61" s="4">
        <v>3</v>
      </c>
      <c r="AJD61" s="4">
        <v>0</v>
      </c>
      <c r="AJE61" s="4">
        <v>0</v>
      </c>
      <c r="AJF61" s="4">
        <v>0</v>
      </c>
      <c r="AJG61" s="4">
        <v>0</v>
      </c>
      <c r="AJH61" s="4">
        <v>0</v>
      </c>
      <c r="AJI61" s="4">
        <v>0</v>
      </c>
      <c r="AJJ61" s="4">
        <v>0</v>
      </c>
      <c r="AJK61" s="4">
        <v>0</v>
      </c>
      <c r="AJL61" s="4">
        <v>0</v>
      </c>
      <c r="AJM61" s="4">
        <v>0</v>
      </c>
      <c r="AJN61" s="4">
        <v>0</v>
      </c>
      <c r="AJO61" s="4">
        <v>0</v>
      </c>
      <c r="AJP61" s="4">
        <v>0</v>
      </c>
      <c r="AJQ61" s="4">
        <v>0</v>
      </c>
      <c r="AJR61" s="4">
        <v>0</v>
      </c>
      <c r="AJS61" s="4">
        <v>0</v>
      </c>
      <c r="AJT61" s="4">
        <v>0</v>
      </c>
      <c r="AJU61" s="4">
        <v>0</v>
      </c>
      <c r="AJV61" s="4">
        <v>0</v>
      </c>
      <c r="AJW61" s="4">
        <v>0</v>
      </c>
      <c r="AJX61" s="4">
        <v>0</v>
      </c>
      <c r="AJY61" s="4">
        <v>0</v>
      </c>
      <c r="AJZ61" s="4">
        <v>0</v>
      </c>
      <c r="AKA61" s="4">
        <v>0</v>
      </c>
      <c r="AKB61" s="4">
        <v>0</v>
      </c>
      <c r="AKC61" s="4">
        <v>0</v>
      </c>
      <c r="AKD61" s="4">
        <v>0</v>
      </c>
      <c r="AKE61" s="4">
        <v>0</v>
      </c>
      <c r="AKF61" s="4">
        <v>0</v>
      </c>
      <c r="AKG61" s="4">
        <v>0</v>
      </c>
      <c r="AKH61" s="4">
        <v>0</v>
      </c>
      <c r="AKI61" s="4">
        <v>0</v>
      </c>
      <c r="AKJ61" s="4">
        <v>0</v>
      </c>
      <c r="AKK61" s="4">
        <v>0</v>
      </c>
      <c r="AKL61" s="4">
        <v>0</v>
      </c>
      <c r="AKM61" s="4">
        <v>0</v>
      </c>
      <c r="AKN61" s="4">
        <v>0</v>
      </c>
      <c r="AKO61" s="4">
        <v>0</v>
      </c>
      <c r="AKP61" s="4">
        <v>0</v>
      </c>
      <c r="AKQ61" s="4">
        <v>0</v>
      </c>
      <c r="AKR61" s="4">
        <v>0</v>
      </c>
      <c r="AKS61" s="4">
        <v>1</v>
      </c>
      <c r="AKT61" s="4">
        <v>0</v>
      </c>
      <c r="AKU61" s="4">
        <v>0</v>
      </c>
      <c r="AKV61" s="4">
        <v>0</v>
      </c>
      <c r="AKW61" s="4">
        <v>0</v>
      </c>
      <c r="AKX61" s="4">
        <v>2</v>
      </c>
      <c r="AKY61" s="4">
        <v>0</v>
      </c>
      <c r="AKZ61" s="4">
        <v>1</v>
      </c>
      <c r="ALA61" s="4">
        <v>0</v>
      </c>
      <c r="ALB61" s="4">
        <v>0</v>
      </c>
      <c r="ALC61" s="4">
        <v>0</v>
      </c>
      <c r="ALD61" s="4">
        <v>0</v>
      </c>
      <c r="ALE61" s="4">
        <v>1</v>
      </c>
      <c r="ALF61" s="4">
        <v>0</v>
      </c>
      <c r="ALG61" s="4">
        <v>3</v>
      </c>
      <c r="ALH61" s="4">
        <v>0</v>
      </c>
      <c r="ALI61" s="4">
        <v>0</v>
      </c>
      <c r="ALJ61" s="4">
        <v>0</v>
      </c>
      <c r="ALK61" s="4">
        <v>0</v>
      </c>
      <c r="ALL61" s="4">
        <v>0</v>
      </c>
      <c r="ALM61" s="4">
        <v>0</v>
      </c>
      <c r="ALN61" s="4">
        <v>0</v>
      </c>
      <c r="ALO61" s="4">
        <v>0</v>
      </c>
      <c r="ALP61" s="4">
        <v>0</v>
      </c>
      <c r="ALQ61" s="4">
        <v>0</v>
      </c>
      <c r="ALR61" s="4">
        <v>2</v>
      </c>
      <c r="ALS61" s="4">
        <v>0</v>
      </c>
      <c r="ALT61" s="4">
        <v>0</v>
      </c>
      <c r="ALU61" s="4">
        <v>0</v>
      </c>
      <c r="ALV61" s="4">
        <v>0</v>
      </c>
      <c r="ALW61" s="4">
        <v>0</v>
      </c>
      <c r="ALX61" s="4">
        <v>0</v>
      </c>
      <c r="ALY61" s="4">
        <v>0</v>
      </c>
      <c r="ALZ61" s="4">
        <v>0</v>
      </c>
      <c r="AMA61" s="4">
        <v>0</v>
      </c>
      <c r="AMB61" s="4">
        <v>0</v>
      </c>
      <c r="AMC61" s="4">
        <v>0</v>
      </c>
      <c r="AMD61" s="4">
        <v>0</v>
      </c>
      <c r="AME61" s="4">
        <v>0</v>
      </c>
      <c r="AMF61" s="4">
        <v>0</v>
      </c>
      <c r="AMG61" s="4">
        <v>0</v>
      </c>
      <c r="AMH61" s="4">
        <v>0</v>
      </c>
      <c r="AMI61" s="4">
        <v>0</v>
      </c>
      <c r="AMJ61" s="4">
        <v>0</v>
      </c>
      <c r="AMK61" s="4">
        <v>0</v>
      </c>
      <c r="AML61" s="4">
        <v>0</v>
      </c>
      <c r="AMM61" s="4">
        <v>0</v>
      </c>
      <c r="AMN61" s="4">
        <v>0</v>
      </c>
      <c r="AMO61" s="4">
        <v>0</v>
      </c>
      <c r="AMP61" s="4">
        <v>0</v>
      </c>
      <c r="AMQ61" s="4">
        <v>0</v>
      </c>
      <c r="AMR61" s="4">
        <v>0</v>
      </c>
      <c r="AMS61" s="4">
        <v>1</v>
      </c>
      <c r="AMT61" s="4">
        <v>0</v>
      </c>
      <c r="AMU61" s="4">
        <v>0</v>
      </c>
      <c r="AMV61" s="4">
        <v>0</v>
      </c>
      <c r="AMW61" s="4">
        <v>0</v>
      </c>
      <c r="AMX61" s="4">
        <v>0</v>
      </c>
      <c r="AMY61" s="4">
        <v>0</v>
      </c>
      <c r="AMZ61" s="4">
        <v>0</v>
      </c>
      <c r="ANA61" s="4">
        <v>0</v>
      </c>
      <c r="ANB61" s="4">
        <v>0</v>
      </c>
      <c r="ANC61" s="4">
        <v>0</v>
      </c>
      <c r="AND61" s="4">
        <v>0</v>
      </c>
      <c r="ANE61" s="4">
        <v>0</v>
      </c>
      <c r="ANF61" s="4">
        <v>1</v>
      </c>
      <c r="ANG61" s="4">
        <v>0</v>
      </c>
      <c r="ANH61" s="4">
        <v>0</v>
      </c>
      <c r="ANI61" s="4">
        <v>0</v>
      </c>
      <c r="ANJ61" s="4">
        <v>0</v>
      </c>
      <c r="ANK61" s="4">
        <v>0</v>
      </c>
      <c r="ANL61" s="4">
        <v>0</v>
      </c>
      <c r="ANM61" s="4">
        <v>0</v>
      </c>
      <c r="ANN61" s="4">
        <v>0</v>
      </c>
      <c r="ANO61" s="4">
        <v>0</v>
      </c>
      <c r="ANP61" s="4">
        <v>0</v>
      </c>
      <c r="ANQ61" s="4">
        <v>1</v>
      </c>
      <c r="ANR61" s="4">
        <v>0</v>
      </c>
      <c r="ANS61" s="4">
        <v>0</v>
      </c>
      <c r="ANT61" s="4">
        <v>0</v>
      </c>
      <c r="ANU61" s="4">
        <v>2</v>
      </c>
      <c r="ANV61" s="4">
        <v>0</v>
      </c>
      <c r="ANW61" s="4">
        <v>0</v>
      </c>
      <c r="ANX61" s="4">
        <v>1</v>
      </c>
      <c r="ANY61" s="4">
        <v>0</v>
      </c>
      <c r="ANZ61" s="4">
        <v>0</v>
      </c>
      <c r="AOA61" s="4">
        <v>0</v>
      </c>
      <c r="AOB61" s="4">
        <v>0</v>
      </c>
      <c r="AOC61" s="4">
        <v>0</v>
      </c>
      <c r="AOD61" s="4">
        <v>0</v>
      </c>
      <c r="AOE61" s="4">
        <v>0</v>
      </c>
      <c r="AOF61" s="4">
        <v>0</v>
      </c>
      <c r="AOG61" s="4">
        <v>2</v>
      </c>
      <c r="AOH61" s="4">
        <v>0</v>
      </c>
      <c r="AOI61" s="4">
        <v>0</v>
      </c>
      <c r="AOJ61" s="4">
        <v>0</v>
      </c>
      <c r="AOK61" s="4">
        <v>0</v>
      </c>
      <c r="AOL61" s="4">
        <v>0</v>
      </c>
      <c r="AOM61" s="4">
        <v>0</v>
      </c>
      <c r="AON61" s="4">
        <v>0</v>
      </c>
      <c r="AOO61" s="4">
        <v>0</v>
      </c>
      <c r="AOP61" s="4">
        <v>0</v>
      </c>
      <c r="AOQ61" s="4">
        <v>0</v>
      </c>
      <c r="AOR61" s="4">
        <v>0</v>
      </c>
      <c r="AOS61" s="4">
        <v>0</v>
      </c>
      <c r="AOT61" s="4">
        <v>0</v>
      </c>
      <c r="AOU61" s="4">
        <v>0</v>
      </c>
      <c r="AOV61" s="4">
        <v>0</v>
      </c>
      <c r="AOW61" s="4">
        <v>0</v>
      </c>
      <c r="AOX61" s="4">
        <v>0</v>
      </c>
      <c r="AOY61" s="4">
        <v>0</v>
      </c>
      <c r="AOZ61" s="4">
        <v>0</v>
      </c>
      <c r="APA61" s="4">
        <v>0</v>
      </c>
      <c r="APB61" s="4">
        <v>0</v>
      </c>
      <c r="APC61" s="4">
        <v>0</v>
      </c>
      <c r="APD61" s="4">
        <v>2</v>
      </c>
      <c r="APE61" s="4">
        <v>0</v>
      </c>
      <c r="APF61" s="4">
        <v>0</v>
      </c>
      <c r="APG61" s="4">
        <v>0</v>
      </c>
      <c r="APH61" s="4">
        <v>0</v>
      </c>
      <c r="API61" s="4">
        <v>0</v>
      </c>
      <c r="APJ61" s="4">
        <v>0</v>
      </c>
      <c r="APK61" s="4">
        <v>0</v>
      </c>
      <c r="APL61" s="4">
        <v>0</v>
      </c>
      <c r="APM61" s="4">
        <v>0</v>
      </c>
      <c r="APN61" s="4">
        <v>0</v>
      </c>
      <c r="APO61" s="4">
        <v>0</v>
      </c>
      <c r="APP61" s="4">
        <v>0</v>
      </c>
      <c r="APQ61" s="4">
        <v>0</v>
      </c>
      <c r="APR61" s="4">
        <v>0</v>
      </c>
      <c r="APS61" s="4">
        <v>0</v>
      </c>
      <c r="APT61" s="4">
        <v>0</v>
      </c>
      <c r="APU61" s="4">
        <v>0</v>
      </c>
      <c r="APV61" s="4">
        <v>0</v>
      </c>
      <c r="APW61" s="4">
        <v>0</v>
      </c>
      <c r="APX61" s="4">
        <v>0</v>
      </c>
      <c r="APY61" s="4">
        <v>0</v>
      </c>
      <c r="APZ61" s="4">
        <v>0</v>
      </c>
      <c r="AQA61" s="4">
        <v>0</v>
      </c>
      <c r="AQB61" s="4">
        <v>0</v>
      </c>
      <c r="AQC61" s="4">
        <v>0</v>
      </c>
      <c r="AQD61" s="4">
        <v>0</v>
      </c>
      <c r="AQE61" s="4">
        <v>0</v>
      </c>
      <c r="AQF61" s="4">
        <v>0</v>
      </c>
      <c r="AQG61" s="4">
        <v>0</v>
      </c>
      <c r="AQH61" s="4">
        <v>0</v>
      </c>
      <c r="AQI61" s="4">
        <v>0</v>
      </c>
      <c r="AQJ61" s="4">
        <v>0</v>
      </c>
      <c r="AQK61" s="4">
        <v>0</v>
      </c>
      <c r="AQL61" s="4">
        <v>0</v>
      </c>
      <c r="AQM61" s="4">
        <v>0</v>
      </c>
      <c r="AQN61" s="4">
        <v>0</v>
      </c>
      <c r="AQO61" s="4">
        <v>0</v>
      </c>
      <c r="AQP61" s="4">
        <v>0</v>
      </c>
      <c r="AQQ61" s="4">
        <v>0</v>
      </c>
      <c r="AQR61" s="4">
        <v>0</v>
      </c>
      <c r="AQS61" s="4">
        <v>0</v>
      </c>
      <c r="AQT61" s="4">
        <v>0</v>
      </c>
      <c r="AQU61" s="4">
        <v>0</v>
      </c>
      <c r="AQV61" s="4">
        <v>0</v>
      </c>
      <c r="AQW61" s="4">
        <v>0</v>
      </c>
      <c r="AQX61" s="4">
        <v>0</v>
      </c>
      <c r="AQY61" s="4">
        <v>0</v>
      </c>
      <c r="AQZ61" s="4">
        <v>0</v>
      </c>
      <c r="ARA61" s="4">
        <v>0</v>
      </c>
      <c r="ARB61" s="4">
        <v>0</v>
      </c>
      <c r="ARC61" s="4">
        <v>0</v>
      </c>
      <c r="ARD61" s="4">
        <v>0</v>
      </c>
      <c r="ARE61" s="4">
        <v>0</v>
      </c>
      <c r="ARF61" s="4">
        <v>0</v>
      </c>
      <c r="ARG61" s="4">
        <v>0</v>
      </c>
      <c r="ARH61" s="4">
        <v>0</v>
      </c>
      <c r="ARI61" s="4">
        <v>0</v>
      </c>
      <c r="ARJ61" s="4">
        <v>0</v>
      </c>
      <c r="ARK61" s="4">
        <v>0</v>
      </c>
      <c r="ARL61" s="4">
        <v>0</v>
      </c>
      <c r="ARM61" s="4">
        <v>0</v>
      </c>
      <c r="ARN61" s="4">
        <v>0</v>
      </c>
      <c r="ARO61" s="4">
        <v>0</v>
      </c>
      <c r="ARP61" s="4">
        <v>0</v>
      </c>
      <c r="ARQ61" s="4">
        <v>0</v>
      </c>
      <c r="ARR61" s="4">
        <v>0</v>
      </c>
      <c r="ARS61" s="4">
        <v>0</v>
      </c>
      <c r="ART61" s="4">
        <v>0</v>
      </c>
      <c r="ARU61" s="4">
        <v>0</v>
      </c>
      <c r="ARV61" s="4">
        <v>0</v>
      </c>
      <c r="ARW61" s="4">
        <v>0</v>
      </c>
      <c r="ARX61" s="4">
        <v>0</v>
      </c>
      <c r="ARY61" s="4">
        <v>0</v>
      </c>
      <c r="ARZ61" s="4">
        <v>0</v>
      </c>
      <c r="ASA61" s="4">
        <v>0</v>
      </c>
      <c r="ASB61" s="4">
        <v>0</v>
      </c>
      <c r="ASC61" s="4">
        <v>0</v>
      </c>
      <c r="ASD61" s="4">
        <v>0</v>
      </c>
      <c r="ASE61" s="4">
        <v>0</v>
      </c>
      <c r="ASF61" s="4">
        <v>0</v>
      </c>
      <c r="ASG61" s="4">
        <v>0</v>
      </c>
      <c r="ASH61" s="4">
        <v>0</v>
      </c>
      <c r="ASI61" s="4">
        <v>0</v>
      </c>
      <c r="ASJ61" s="4">
        <v>0</v>
      </c>
      <c r="ASK61" s="4">
        <v>0</v>
      </c>
      <c r="ASL61" s="4">
        <v>0</v>
      </c>
      <c r="ASM61" s="4">
        <v>0</v>
      </c>
      <c r="ASN61" s="4">
        <v>0</v>
      </c>
      <c r="ASO61" s="4">
        <v>0</v>
      </c>
      <c r="ASP61" s="4">
        <v>0</v>
      </c>
      <c r="ASQ61" s="4">
        <v>0</v>
      </c>
      <c r="ASR61" s="4">
        <v>0</v>
      </c>
      <c r="ASS61" s="4">
        <v>0</v>
      </c>
      <c r="AST61" s="4">
        <v>0</v>
      </c>
      <c r="ASU61" s="4">
        <v>0</v>
      </c>
      <c r="ASV61" s="4">
        <v>0</v>
      </c>
      <c r="ASW61" s="4">
        <v>0</v>
      </c>
      <c r="ASX61" s="4">
        <v>0</v>
      </c>
      <c r="ASY61" s="4">
        <v>0</v>
      </c>
      <c r="ASZ61" s="4">
        <v>0</v>
      </c>
      <c r="ATA61" s="4">
        <v>0</v>
      </c>
      <c r="ATB61" s="4">
        <v>0</v>
      </c>
      <c r="ATC61" s="4">
        <v>0</v>
      </c>
      <c r="ATD61" s="4">
        <v>0</v>
      </c>
      <c r="ATE61" s="4">
        <v>0</v>
      </c>
      <c r="ATF61" s="4">
        <v>0</v>
      </c>
      <c r="ATG61" s="4">
        <v>0</v>
      </c>
      <c r="ATH61" s="4">
        <v>0</v>
      </c>
      <c r="ATI61" s="4">
        <v>0</v>
      </c>
      <c r="ATJ61" s="4">
        <v>0</v>
      </c>
      <c r="ATK61" s="4">
        <v>0</v>
      </c>
      <c r="ATL61" s="4">
        <v>0</v>
      </c>
      <c r="ATM61" s="4">
        <v>0</v>
      </c>
      <c r="ATN61" s="4">
        <v>0</v>
      </c>
      <c r="ATO61" s="4">
        <v>0</v>
      </c>
      <c r="ATP61" s="4">
        <v>0</v>
      </c>
      <c r="ATQ61" s="4">
        <v>0</v>
      </c>
      <c r="ATR61" s="4">
        <v>0</v>
      </c>
      <c r="ATS61" s="4">
        <v>0</v>
      </c>
      <c r="ATT61" s="4">
        <v>0</v>
      </c>
      <c r="ATU61" s="4">
        <v>0</v>
      </c>
      <c r="ATV61" s="4">
        <v>0</v>
      </c>
      <c r="ATW61" s="4">
        <v>0</v>
      </c>
      <c r="ATX61" s="4">
        <v>0</v>
      </c>
      <c r="ATY61" s="4">
        <v>0</v>
      </c>
      <c r="ATZ61" s="4">
        <v>0</v>
      </c>
      <c r="AUA61" s="4">
        <v>0</v>
      </c>
      <c r="AUB61" s="4">
        <v>0</v>
      </c>
      <c r="AUC61" s="4">
        <v>0</v>
      </c>
      <c r="AUD61" s="4">
        <v>0</v>
      </c>
      <c r="AUE61" s="4">
        <v>0</v>
      </c>
      <c r="AUF61" s="4">
        <v>0</v>
      </c>
      <c r="AUG61" s="4">
        <v>0</v>
      </c>
      <c r="AUH61" s="4">
        <v>0</v>
      </c>
      <c r="AUI61" s="4">
        <v>0</v>
      </c>
      <c r="AUJ61" s="4">
        <v>0</v>
      </c>
      <c r="AUK61" s="4">
        <v>0</v>
      </c>
      <c r="AUL61" s="4">
        <v>0</v>
      </c>
      <c r="AUM61" s="4">
        <v>0</v>
      </c>
      <c r="AUN61" s="4">
        <v>0</v>
      </c>
      <c r="AUO61" s="4">
        <v>0</v>
      </c>
      <c r="AUP61" s="4">
        <v>0</v>
      </c>
      <c r="AUQ61" s="4">
        <v>0</v>
      </c>
      <c r="AUR61" s="4">
        <v>0</v>
      </c>
      <c r="AUS61" s="4">
        <v>0</v>
      </c>
      <c r="AUT61" s="4">
        <v>0</v>
      </c>
      <c r="AUU61" s="4">
        <v>0</v>
      </c>
      <c r="AUV61" s="4">
        <v>0</v>
      </c>
      <c r="AUW61" s="4">
        <v>0</v>
      </c>
      <c r="AUX61" s="4">
        <v>0</v>
      </c>
      <c r="AUY61" s="4">
        <v>0</v>
      </c>
      <c r="AUZ61" s="4">
        <v>0</v>
      </c>
      <c r="AVA61" s="4">
        <v>0</v>
      </c>
      <c r="AVB61" s="4">
        <v>0</v>
      </c>
      <c r="AVC61" s="4">
        <v>0</v>
      </c>
      <c r="AVD61" s="4">
        <v>0</v>
      </c>
      <c r="AVE61" s="4">
        <v>0</v>
      </c>
      <c r="AVF61" s="4">
        <v>0</v>
      </c>
      <c r="AVG61" s="4">
        <v>0</v>
      </c>
      <c r="AVH61" s="4">
        <v>0</v>
      </c>
      <c r="AVI61" s="4">
        <v>0</v>
      </c>
      <c r="AVJ61" s="4">
        <v>0</v>
      </c>
      <c r="AVK61" s="4">
        <v>0</v>
      </c>
      <c r="AVL61" s="4">
        <v>0</v>
      </c>
      <c r="AVM61" s="4">
        <v>0</v>
      </c>
      <c r="AVN61" s="4">
        <v>64</v>
      </c>
      <c r="AVO61" s="4">
        <v>9</v>
      </c>
      <c r="AVP61" s="4">
        <v>16</v>
      </c>
      <c r="AVQ61" s="4">
        <v>3</v>
      </c>
      <c r="AVR61" s="4">
        <v>0</v>
      </c>
      <c r="AVS61" s="4">
        <v>3</v>
      </c>
      <c r="AVT61" s="4">
        <v>6</v>
      </c>
      <c r="AVU61" s="4">
        <v>1</v>
      </c>
      <c r="AVV61" s="4">
        <v>2</v>
      </c>
      <c r="AVW61" s="4">
        <v>0</v>
      </c>
      <c r="AVX61" s="4">
        <v>402</v>
      </c>
      <c r="AVY61" s="4">
        <v>457</v>
      </c>
      <c r="AVZ61" s="4">
        <v>0</v>
      </c>
      <c r="AWA61" s="4">
        <v>27</v>
      </c>
      <c r="AWB61" s="4">
        <v>2</v>
      </c>
      <c r="AWC61" s="4" t="s">
        <v>1671</v>
      </c>
      <c r="AWD61" s="4">
        <v>5</v>
      </c>
      <c r="AWE61" s="4" t="s">
        <v>1671</v>
      </c>
      <c r="AWF61" s="4">
        <v>9</v>
      </c>
      <c r="AWG61" s="4">
        <v>18</v>
      </c>
      <c r="AWH61" s="4">
        <v>2</v>
      </c>
      <c r="AWI61" s="4">
        <v>0</v>
      </c>
      <c r="AWJ61" s="4">
        <v>0</v>
      </c>
      <c r="AWK61" s="4">
        <v>0</v>
      </c>
      <c r="AWL61" s="4">
        <v>0</v>
      </c>
      <c r="AWM61" s="4">
        <v>0</v>
      </c>
      <c r="AWN61" s="4">
        <v>0</v>
      </c>
      <c r="AWO61" s="4">
        <v>0</v>
      </c>
      <c r="AWP61" s="4">
        <v>0</v>
      </c>
      <c r="AWQ61" s="4">
        <v>0.56000000000000005</v>
      </c>
      <c r="AWR61" s="4">
        <v>0</v>
      </c>
      <c r="AWS61" s="4">
        <v>0</v>
      </c>
      <c r="AWT61" s="4">
        <v>0</v>
      </c>
      <c r="AWU61" s="4">
        <v>0</v>
      </c>
      <c r="AWV61" s="4">
        <v>0</v>
      </c>
      <c r="AWW61" s="4">
        <v>0</v>
      </c>
      <c r="AWX61" s="4">
        <v>0</v>
      </c>
      <c r="AWY61" s="4">
        <v>0</v>
      </c>
      <c r="AWZ61" s="4">
        <v>3</v>
      </c>
      <c r="AXA61" s="4">
        <v>1</v>
      </c>
      <c r="AXB61" s="4">
        <v>0</v>
      </c>
      <c r="AXC61" s="4">
        <v>0</v>
      </c>
      <c r="AXD61" s="4">
        <v>0</v>
      </c>
      <c r="AXE61" s="4">
        <v>0</v>
      </c>
      <c r="AXF61" s="4">
        <v>0</v>
      </c>
      <c r="AXG61" s="4">
        <v>0</v>
      </c>
      <c r="AXH61" s="4">
        <v>0</v>
      </c>
      <c r="AXI61" s="4">
        <v>0</v>
      </c>
      <c r="AXJ61" s="4">
        <v>0</v>
      </c>
      <c r="AXK61" s="4">
        <v>0</v>
      </c>
      <c r="AXL61" s="4">
        <v>0</v>
      </c>
      <c r="AXM61" s="4">
        <v>0</v>
      </c>
      <c r="AXN61" s="4">
        <v>0</v>
      </c>
      <c r="AXO61" s="4">
        <v>0</v>
      </c>
      <c r="AXP61" s="4">
        <v>0</v>
      </c>
      <c r="AXQ61" s="4">
        <v>0</v>
      </c>
      <c r="AXR61" s="4">
        <v>0</v>
      </c>
      <c r="AXS61" s="4">
        <v>0</v>
      </c>
      <c r="AXT61" s="4">
        <v>0</v>
      </c>
      <c r="AXU61" s="4">
        <v>0</v>
      </c>
      <c r="AXV61" s="4">
        <v>0</v>
      </c>
      <c r="AXW61" s="4">
        <v>0</v>
      </c>
      <c r="AXX61" s="4">
        <v>0</v>
      </c>
      <c r="AXY61" s="4">
        <v>0</v>
      </c>
      <c r="AXZ61" s="4">
        <v>0</v>
      </c>
      <c r="AYA61" s="4">
        <v>0</v>
      </c>
      <c r="AYB61" s="4">
        <v>0</v>
      </c>
      <c r="AYC61" s="4">
        <v>0</v>
      </c>
      <c r="AYD61" s="4">
        <v>0</v>
      </c>
      <c r="AYE61" s="4">
        <v>0</v>
      </c>
      <c r="AYF61" s="4">
        <v>0</v>
      </c>
      <c r="AYG61" s="4">
        <v>0</v>
      </c>
      <c r="AYH61" s="4">
        <v>0</v>
      </c>
      <c r="AYI61" s="4">
        <v>0</v>
      </c>
      <c r="AYJ61" s="4">
        <v>0</v>
      </c>
      <c r="AYK61" s="4">
        <v>0</v>
      </c>
      <c r="AYL61" s="4">
        <v>0</v>
      </c>
      <c r="AYM61" s="4">
        <v>0</v>
      </c>
      <c r="AYN61" s="4">
        <v>0</v>
      </c>
      <c r="AYO61" s="4">
        <v>0</v>
      </c>
      <c r="AYP61" s="4">
        <v>0</v>
      </c>
      <c r="AYQ61" s="4">
        <v>0</v>
      </c>
      <c r="AYR61" s="4">
        <v>0</v>
      </c>
      <c r="AYS61" s="4">
        <v>0</v>
      </c>
      <c r="AYT61" s="4">
        <v>0</v>
      </c>
      <c r="AYU61" s="4">
        <v>2</v>
      </c>
      <c r="AYV61" s="4">
        <v>0</v>
      </c>
      <c r="AYW61" s="4">
        <v>0</v>
      </c>
      <c r="AYX61" s="4">
        <v>0</v>
      </c>
      <c r="AYY61" s="4">
        <v>0</v>
      </c>
      <c r="AYZ61" s="4">
        <v>0</v>
      </c>
      <c r="AZA61" s="4">
        <v>0</v>
      </c>
      <c r="AZB61" s="4">
        <v>0</v>
      </c>
      <c r="AZC61" s="4">
        <v>0</v>
      </c>
      <c r="AZD61" s="4">
        <v>0</v>
      </c>
      <c r="AZE61" s="4">
        <v>0</v>
      </c>
      <c r="AZF61" s="4">
        <v>0</v>
      </c>
      <c r="AZG61" s="4">
        <v>0</v>
      </c>
      <c r="AZH61" s="4">
        <v>0</v>
      </c>
      <c r="AZI61" s="4">
        <v>0</v>
      </c>
      <c r="AZJ61" s="4">
        <v>0</v>
      </c>
      <c r="AZK61" s="4">
        <v>0</v>
      </c>
      <c r="AZL61" s="4">
        <v>0</v>
      </c>
      <c r="AZM61" s="4">
        <v>0</v>
      </c>
      <c r="AZN61" s="4">
        <v>1</v>
      </c>
      <c r="AZO61" s="4">
        <v>0</v>
      </c>
      <c r="AZP61" s="4">
        <v>0</v>
      </c>
      <c r="AZQ61" s="4">
        <v>0</v>
      </c>
      <c r="AZR61" s="4">
        <v>0</v>
      </c>
      <c r="AZS61" s="4">
        <v>0</v>
      </c>
      <c r="AZT61" s="4">
        <v>0</v>
      </c>
      <c r="AZU61" s="4">
        <v>0</v>
      </c>
      <c r="AZV61" s="4">
        <v>0</v>
      </c>
      <c r="AZW61" s="4">
        <v>0</v>
      </c>
      <c r="AZX61" s="4">
        <v>0</v>
      </c>
      <c r="AZY61" s="4">
        <v>0</v>
      </c>
      <c r="AZZ61" s="4">
        <v>0</v>
      </c>
      <c r="BAA61" s="4">
        <v>0</v>
      </c>
      <c r="BAB61" s="4">
        <v>0</v>
      </c>
      <c r="BAC61" s="4">
        <v>0</v>
      </c>
      <c r="BAD61" s="4">
        <v>0</v>
      </c>
      <c r="BAE61" s="4">
        <v>0</v>
      </c>
      <c r="BAF61" s="4">
        <v>0</v>
      </c>
      <c r="BAG61" s="4">
        <v>0</v>
      </c>
      <c r="BAH61" s="4">
        <v>0</v>
      </c>
      <c r="BAI61" s="4">
        <v>0</v>
      </c>
      <c r="BAJ61" s="4">
        <v>0</v>
      </c>
      <c r="BAK61" s="4">
        <v>0</v>
      </c>
      <c r="BAL61" s="4">
        <v>0</v>
      </c>
      <c r="BAM61" s="4">
        <v>0</v>
      </c>
      <c r="BAN61" s="4">
        <v>0</v>
      </c>
      <c r="BAO61" s="4">
        <v>0</v>
      </c>
      <c r="BAP61" s="4">
        <v>0</v>
      </c>
      <c r="BAQ61" s="4">
        <v>0</v>
      </c>
      <c r="BAR61" s="4">
        <v>1</v>
      </c>
      <c r="BAS61" s="4">
        <v>0</v>
      </c>
      <c r="BAT61" s="4">
        <v>0</v>
      </c>
      <c r="BAU61" s="4">
        <v>0</v>
      </c>
      <c r="BAV61" s="4">
        <v>0</v>
      </c>
      <c r="BAW61" s="4">
        <v>0</v>
      </c>
      <c r="BAX61" s="4">
        <v>0</v>
      </c>
      <c r="BAY61" s="4">
        <v>0</v>
      </c>
      <c r="BAZ61" s="4">
        <v>0</v>
      </c>
      <c r="BBA61" s="4">
        <v>0</v>
      </c>
      <c r="BBB61" s="4">
        <v>0</v>
      </c>
      <c r="BBC61" s="4">
        <v>0</v>
      </c>
      <c r="BBD61" s="4">
        <v>1</v>
      </c>
      <c r="BBE61" s="4">
        <v>0</v>
      </c>
      <c r="BBF61" s="4">
        <v>2</v>
      </c>
      <c r="BBG61" s="4">
        <v>0</v>
      </c>
      <c r="BBH61" s="4">
        <v>0</v>
      </c>
      <c r="BBI61" s="4">
        <v>0</v>
      </c>
      <c r="BBJ61" s="4">
        <v>0</v>
      </c>
      <c r="BBK61" s="4">
        <v>0</v>
      </c>
      <c r="BBL61" s="4">
        <v>0</v>
      </c>
      <c r="BBM61" s="4">
        <v>0</v>
      </c>
      <c r="BBN61" s="4">
        <v>0</v>
      </c>
      <c r="BBO61" s="4">
        <v>0</v>
      </c>
      <c r="BBP61" s="4">
        <v>0</v>
      </c>
      <c r="BBQ61" s="4">
        <v>0</v>
      </c>
      <c r="BBR61" s="4">
        <v>1</v>
      </c>
      <c r="BBS61" s="4">
        <v>0</v>
      </c>
      <c r="BBT61" s="4">
        <v>0</v>
      </c>
      <c r="BBU61" s="4">
        <v>0</v>
      </c>
      <c r="BBV61" s="4">
        <v>0</v>
      </c>
      <c r="BBW61" s="4">
        <v>0</v>
      </c>
      <c r="BBX61" s="4">
        <v>0</v>
      </c>
      <c r="BBY61" s="4">
        <v>0</v>
      </c>
      <c r="BBZ61" s="4">
        <v>0</v>
      </c>
      <c r="BCA61" s="4">
        <v>0</v>
      </c>
      <c r="BCB61" s="4">
        <v>0</v>
      </c>
      <c r="BCC61" s="4">
        <v>0</v>
      </c>
      <c r="BCD61" s="4">
        <v>0</v>
      </c>
      <c r="BCE61" s="4">
        <v>0</v>
      </c>
      <c r="BCF61" s="4">
        <v>0</v>
      </c>
      <c r="BCG61" s="4">
        <v>0</v>
      </c>
      <c r="BCH61" s="4">
        <v>0</v>
      </c>
      <c r="BCI61" s="4">
        <v>0</v>
      </c>
      <c r="BCJ61" s="4">
        <v>0</v>
      </c>
      <c r="BCK61" s="4">
        <v>0</v>
      </c>
      <c r="BCL61" s="4">
        <v>0</v>
      </c>
      <c r="BCM61" s="4">
        <v>0</v>
      </c>
      <c r="BCN61" s="4">
        <v>0</v>
      </c>
      <c r="BCO61" s="4">
        <v>0</v>
      </c>
      <c r="BCP61" s="4">
        <v>0</v>
      </c>
      <c r="BCQ61" s="4">
        <v>0</v>
      </c>
      <c r="BCR61" s="4">
        <v>1</v>
      </c>
      <c r="BCS61" s="4">
        <v>0</v>
      </c>
      <c r="BCT61" s="4">
        <v>0</v>
      </c>
      <c r="BCU61" s="4">
        <v>0</v>
      </c>
      <c r="BCV61" s="4">
        <v>0</v>
      </c>
      <c r="BCW61" s="4">
        <v>0</v>
      </c>
      <c r="BCX61" s="4">
        <v>0</v>
      </c>
      <c r="BCY61" s="4">
        <v>0</v>
      </c>
      <c r="BCZ61" s="4">
        <v>0</v>
      </c>
      <c r="BDA61" s="4">
        <v>0</v>
      </c>
      <c r="BDB61" s="4">
        <v>0</v>
      </c>
      <c r="BDC61" s="4">
        <v>0</v>
      </c>
      <c r="BDD61" s="4">
        <v>0</v>
      </c>
      <c r="BDE61" s="4">
        <v>0</v>
      </c>
      <c r="BDF61" s="4">
        <v>0</v>
      </c>
      <c r="BDG61" s="4">
        <v>0</v>
      </c>
      <c r="BDH61" s="4">
        <v>0</v>
      </c>
      <c r="BDI61" s="4">
        <v>0</v>
      </c>
      <c r="BDJ61" s="4">
        <v>0</v>
      </c>
      <c r="BDK61" s="4">
        <v>0</v>
      </c>
      <c r="BDL61" s="4">
        <v>0</v>
      </c>
      <c r="BDM61" s="4">
        <v>0</v>
      </c>
      <c r="BDN61" s="4">
        <v>0</v>
      </c>
      <c r="BDO61" s="4">
        <v>0</v>
      </c>
      <c r="BDP61" s="4">
        <v>1</v>
      </c>
      <c r="BDQ61" s="4">
        <v>0</v>
      </c>
      <c r="BDR61" s="4">
        <v>0</v>
      </c>
      <c r="BDS61" s="4">
        <v>0</v>
      </c>
      <c r="BDT61" s="4">
        <v>6</v>
      </c>
      <c r="BDU61" s="4">
        <v>0</v>
      </c>
      <c r="BDV61" s="4">
        <v>0</v>
      </c>
      <c r="BDW61" s="4">
        <v>2</v>
      </c>
      <c r="BDX61" s="4">
        <v>0</v>
      </c>
      <c r="BDY61" s="4">
        <v>0</v>
      </c>
      <c r="BDZ61" s="4">
        <v>0</v>
      </c>
      <c r="BEA61" s="4">
        <v>0</v>
      </c>
      <c r="BEB61" s="4">
        <v>0</v>
      </c>
      <c r="BEC61" s="4">
        <v>0</v>
      </c>
      <c r="BED61" s="4">
        <v>0</v>
      </c>
      <c r="BEE61" s="4">
        <v>0</v>
      </c>
      <c r="BEF61" s="4">
        <v>2</v>
      </c>
      <c r="BEG61" s="4">
        <v>0</v>
      </c>
      <c r="BEH61" s="4">
        <v>0</v>
      </c>
      <c r="BEI61" s="4">
        <v>0</v>
      </c>
      <c r="BEJ61" s="4">
        <v>0</v>
      </c>
      <c r="BEK61" s="4">
        <v>0</v>
      </c>
      <c r="BEL61" s="4">
        <v>0</v>
      </c>
      <c r="BEM61" s="4">
        <v>0</v>
      </c>
      <c r="BEN61" s="4">
        <v>0</v>
      </c>
      <c r="BEO61" s="4">
        <v>0</v>
      </c>
      <c r="BEP61" s="4">
        <v>0</v>
      </c>
      <c r="BEQ61" s="4">
        <v>0</v>
      </c>
      <c r="BER61" s="4">
        <v>0</v>
      </c>
      <c r="BES61" s="4">
        <v>0</v>
      </c>
      <c r="BET61" s="4">
        <v>0</v>
      </c>
      <c r="BEU61" s="4">
        <v>0</v>
      </c>
      <c r="BEV61" s="4">
        <v>0</v>
      </c>
      <c r="BEW61" s="4">
        <v>0</v>
      </c>
      <c r="BEX61" s="4">
        <v>0</v>
      </c>
      <c r="BEY61" s="4">
        <v>0</v>
      </c>
      <c r="BEZ61" s="4">
        <v>0</v>
      </c>
      <c r="BFA61" s="4">
        <v>0</v>
      </c>
      <c r="BFB61" s="4">
        <v>0</v>
      </c>
      <c r="BFC61" s="4">
        <v>1</v>
      </c>
      <c r="BFD61" s="4">
        <v>0</v>
      </c>
      <c r="BFE61" s="4">
        <v>0</v>
      </c>
      <c r="BFF61" s="4">
        <v>0</v>
      </c>
      <c r="BFG61" s="4">
        <v>0</v>
      </c>
      <c r="BFH61" s="4">
        <v>0</v>
      </c>
      <c r="BFI61" s="4">
        <v>0</v>
      </c>
      <c r="BFJ61" s="4">
        <v>0</v>
      </c>
      <c r="BFK61" s="4">
        <v>0</v>
      </c>
      <c r="BFL61" s="4">
        <v>0</v>
      </c>
      <c r="BFM61" s="4">
        <v>0</v>
      </c>
      <c r="BFN61" s="4">
        <v>0</v>
      </c>
      <c r="BFO61" s="4">
        <v>0</v>
      </c>
      <c r="BFP61" s="4">
        <v>0</v>
      </c>
      <c r="BFQ61" s="4">
        <v>0</v>
      </c>
      <c r="BFR61" s="4">
        <v>0</v>
      </c>
      <c r="BFS61" s="4">
        <v>0</v>
      </c>
      <c r="BFT61" s="4">
        <v>0</v>
      </c>
      <c r="BFU61" s="4">
        <v>0</v>
      </c>
      <c r="BFV61" s="4">
        <v>0</v>
      </c>
      <c r="BFW61" s="4">
        <v>0</v>
      </c>
      <c r="BFX61" s="4">
        <v>0</v>
      </c>
      <c r="BFY61" s="4">
        <v>0</v>
      </c>
      <c r="BFZ61" s="4">
        <v>0</v>
      </c>
      <c r="BGA61" s="4">
        <v>0</v>
      </c>
      <c r="BGB61" s="4">
        <v>0</v>
      </c>
      <c r="BGC61" s="4">
        <v>0</v>
      </c>
      <c r="BGD61" s="4">
        <v>0</v>
      </c>
      <c r="BGE61" s="4">
        <v>0</v>
      </c>
      <c r="BGF61" s="4">
        <v>0</v>
      </c>
      <c r="BGG61" s="4">
        <v>0</v>
      </c>
      <c r="BGH61" s="4">
        <v>0</v>
      </c>
      <c r="BGI61" s="4">
        <v>0</v>
      </c>
      <c r="BGJ61" s="4">
        <v>0</v>
      </c>
      <c r="BGK61" s="4">
        <v>0</v>
      </c>
      <c r="BGL61" s="4">
        <v>0</v>
      </c>
      <c r="BGM61" s="4">
        <v>0</v>
      </c>
      <c r="BGN61" s="4">
        <v>0</v>
      </c>
      <c r="BGO61" s="4">
        <v>0</v>
      </c>
      <c r="BGP61" s="4">
        <v>0</v>
      </c>
      <c r="BGQ61" s="4">
        <v>0</v>
      </c>
      <c r="BGR61" s="4">
        <v>0</v>
      </c>
      <c r="BGS61" s="4">
        <v>0</v>
      </c>
      <c r="BGT61" s="4">
        <v>0</v>
      </c>
      <c r="BGU61" s="4">
        <v>0</v>
      </c>
      <c r="BGV61" s="4">
        <v>0</v>
      </c>
      <c r="BGW61" s="4">
        <v>0</v>
      </c>
      <c r="BGX61" s="4">
        <v>2</v>
      </c>
      <c r="BGY61" s="4">
        <v>0</v>
      </c>
      <c r="BGZ61" s="4">
        <v>0</v>
      </c>
      <c r="BHA61" s="4">
        <v>0</v>
      </c>
      <c r="BHB61" s="4">
        <v>0</v>
      </c>
      <c r="BHC61" s="4">
        <v>0</v>
      </c>
      <c r="BHD61" s="4">
        <v>0</v>
      </c>
      <c r="BHE61" s="4">
        <v>0</v>
      </c>
      <c r="BHF61" s="4">
        <v>0</v>
      </c>
      <c r="BHG61" s="4">
        <v>0</v>
      </c>
      <c r="BHH61" s="4">
        <v>0</v>
      </c>
      <c r="BHI61" s="4">
        <v>0</v>
      </c>
      <c r="BHJ61" s="4">
        <v>0</v>
      </c>
      <c r="BHK61" s="4">
        <v>0</v>
      </c>
      <c r="BHL61" s="4">
        <v>0</v>
      </c>
      <c r="BHM61" s="4">
        <v>0</v>
      </c>
      <c r="BHN61" s="4">
        <v>0</v>
      </c>
      <c r="BHO61" s="4">
        <v>0</v>
      </c>
      <c r="BHP61" s="4">
        <v>0</v>
      </c>
      <c r="BHQ61" s="4">
        <v>0</v>
      </c>
      <c r="BHR61" s="4">
        <v>0</v>
      </c>
      <c r="BHS61" s="4">
        <v>0</v>
      </c>
      <c r="BHT61" s="4">
        <v>0</v>
      </c>
      <c r="BHU61" s="4">
        <v>0</v>
      </c>
      <c r="BHV61" s="4">
        <v>0</v>
      </c>
      <c r="BHW61" s="4">
        <v>0</v>
      </c>
      <c r="BHX61" s="4">
        <v>0</v>
      </c>
      <c r="BHY61" s="4">
        <v>0</v>
      </c>
      <c r="BHZ61" s="4">
        <v>0</v>
      </c>
      <c r="BIA61" s="4">
        <v>0</v>
      </c>
      <c r="BIB61" s="4">
        <v>0</v>
      </c>
      <c r="BIC61" s="4">
        <v>0</v>
      </c>
      <c r="BID61" s="4">
        <v>0</v>
      </c>
      <c r="BIE61" s="4">
        <v>0</v>
      </c>
      <c r="BIF61" s="4">
        <v>0</v>
      </c>
      <c r="BIG61" s="4">
        <v>0</v>
      </c>
      <c r="BIH61" s="4">
        <v>0</v>
      </c>
      <c r="BII61" s="4">
        <v>0</v>
      </c>
      <c r="BIJ61" s="4">
        <v>0</v>
      </c>
      <c r="BIK61" s="4">
        <v>0</v>
      </c>
      <c r="BIL61" s="4">
        <v>0</v>
      </c>
      <c r="BIM61" s="4">
        <v>0</v>
      </c>
      <c r="BIN61" s="4">
        <v>0</v>
      </c>
      <c r="BIO61" s="4">
        <v>0</v>
      </c>
      <c r="BIP61" s="4">
        <v>0</v>
      </c>
      <c r="BIQ61" s="4">
        <v>0</v>
      </c>
      <c r="BIR61" s="4">
        <v>0</v>
      </c>
      <c r="BIS61" s="4">
        <v>0</v>
      </c>
      <c r="BIT61" s="4">
        <v>0</v>
      </c>
      <c r="BIU61" s="4">
        <v>0</v>
      </c>
      <c r="BIV61" s="4">
        <v>0</v>
      </c>
      <c r="BIW61" s="4">
        <v>0</v>
      </c>
      <c r="BIX61" s="4">
        <v>0</v>
      </c>
      <c r="BIY61" s="4">
        <v>0</v>
      </c>
      <c r="BIZ61" s="4">
        <v>0</v>
      </c>
      <c r="BJA61" s="4">
        <v>0</v>
      </c>
      <c r="BJB61" s="4">
        <v>0</v>
      </c>
      <c r="BJC61" s="4">
        <v>0</v>
      </c>
      <c r="BJD61" s="4">
        <v>0</v>
      </c>
      <c r="BJE61" s="4">
        <v>0</v>
      </c>
      <c r="BJF61" s="4">
        <v>0</v>
      </c>
      <c r="BJG61" s="4">
        <v>0</v>
      </c>
      <c r="BJH61" s="4">
        <v>0</v>
      </c>
      <c r="BJI61" s="4">
        <v>0</v>
      </c>
      <c r="BJJ61" s="4">
        <v>0</v>
      </c>
      <c r="BJK61" s="4">
        <v>0</v>
      </c>
      <c r="BJL61" s="4">
        <v>0</v>
      </c>
      <c r="BJM61" s="4">
        <v>0</v>
      </c>
      <c r="BJN61" s="4">
        <v>0</v>
      </c>
      <c r="BJO61" s="4">
        <v>0</v>
      </c>
      <c r="BJP61" s="4">
        <v>0</v>
      </c>
      <c r="BJQ61" s="4">
        <v>0</v>
      </c>
      <c r="BJR61" s="4">
        <v>0</v>
      </c>
      <c r="BJS61" s="4">
        <v>0</v>
      </c>
      <c r="BJT61" s="4">
        <v>0</v>
      </c>
      <c r="BJU61" s="4">
        <v>0</v>
      </c>
      <c r="BJV61" s="4">
        <v>0</v>
      </c>
      <c r="BJW61" s="4">
        <v>0</v>
      </c>
      <c r="BJX61" s="4">
        <v>0</v>
      </c>
      <c r="BJY61" s="4">
        <v>0</v>
      </c>
      <c r="BJZ61" s="4">
        <v>0</v>
      </c>
      <c r="BKA61" s="4">
        <v>0</v>
      </c>
      <c r="BKB61" s="4">
        <v>0</v>
      </c>
      <c r="BKC61" s="4">
        <v>0</v>
      </c>
      <c r="BKD61" s="4">
        <v>0</v>
      </c>
      <c r="BKE61" s="4">
        <v>0</v>
      </c>
      <c r="BKF61" s="4">
        <v>0</v>
      </c>
      <c r="BKG61" s="4">
        <v>0</v>
      </c>
      <c r="BKH61" s="4">
        <v>0</v>
      </c>
      <c r="BKI61" s="4">
        <v>0</v>
      </c>
      <c r="BKJ61" s="4">
        <v>0</v>
      </c>
      <c r="BKK61" s="4">
        <v>0</v>
      </c>
      <c r="BKL61" s="4">
        <v>0</v>
      </c>
      <c r="BKM61" s="4">
        <v>0</v>
      </c>
      <c r="BKN61" s="4">
        <v>0</v>
      </c>
      <c r="BKO61" s="4">
        <v>0</v>
      </c>
      <c r="BKP61" s="4">
        <v>0</v>
      </c>
      <c r="BKQ61" s="4">
        <v>0</v>
      </c>
      <c r="BKR61" s="4">
        <v>0</v>
      </c>
      <c r="BKS61" s="4">
        <v>0</v>
      </c>
      <c r="BKT61" s="4">
        <v>0</v>
      </c>
      <c r="BKU61" s="4">
        <v>0</v>
      </c>
      <c r="BKV61" s="4">
        <v>0</v>
      </c>
      <c r="BKW61" s="4">
        <v>0</v>
      </c>
      <c r="BKX61" s="4">
        <v>0</v>
      </c>
      <c r="BKY61" s="4">
        <v>0</v>
      </c>
      <c r="BKZ61" s="4">
        <v>0</v>
      </c>
      <c r="BLA61" s="4">
        <v>0</v>
      </c>
      <c r="BLB61" s="4">
        <v>0</v>
      </c>
      <c r="BLC61" s="4">
        <v>0</v>
      </c>
      <c r="BLD61" s="4">
        <v>0</v>
      </c>
      <c r="BLE61" s="4">
        <v>0</v>
      </c>
      <c r="BLF61" s="4">
        <v>0</v>
      </c>
      <c r="BLG61" s="4">
        <v>0</v>
      </c>
      <c r="BLH61" s="4">
        <v>0</v>
      </c>
      <c r="BLI61" s="4">
        <v>0</v>
      </c>
      <c r="BLJ61" s="4">
        <v>0</v>
      </c>
      <c r="BLK61" s="4">
        <v>0</v>
      </c>
    </row>
    <row r="62" spans="1:1675" x14ac:dyDescent="0.2">
      <c r="A62">
        <v>5</v>
      </c>
      <c r="B62">
        <v>18</v>
      </c>
      <c r="C62">
        <f t="shared" si="16"/>
        <v>80</v>
      </c>
      <c r="D62">
        <f t="shared" si="14"/>
        <v>977</v>
      </c>
      <c r="E62">
        <f t="shared" si="15"/>
        <v>61</v>
      </c>
      <c r="F62">
        <f t="shared" si="17"/>
        <v>12</v>
      </c>
      <c r="G62">
        <f t="shared" si="18"/>
        <v>4</v>
      </c>
      <c r="H62" cm="1">
        <f t="array" ref="H62">_xlfn.IFS(P62=0, 1, P62=7, 2, P62=5, 3)</f>
        <v>1</v>
      </c>
      <c r="I62" cm="1">
        <f t="array" ref="I62">_xlfn.IFS(H62=1, IF(AC62=0, P62, PO62), H62=2, IF(AC62=0, P62, AFN62), H62=3, IF(AC62=0, P62, AVM62))</f>
        <v>1</v>
      </c>
      <c r="J62" cm="1">
        <f t="array" ref="J62">_xlfn.IFS(I62=0, 1, I62=1, 0, I62=2, 7, I62=7, 2, I62=5, 6, I62=6, 5)</f>
        <v>0</v>
      </c>
      <c r="K62" cm="1">
        <f t="array" ref="K62">_xlfn.IFNA(_xlfn.IFS(P62&lt;&gt;P63, 1, A62&lt;&gt;A63, IF(P63=P62, 1)), "")</f>
        <v>1</v>
      </c>
      <c r="L62">
        <f t="shared" si="7"/>
        <v>1</v>
      </c>
      <c r="M62" t="s">
        <v>1741</v>
      </c>
      <c r="N62" s="4" t="s">
        <v>1761</v>
      </c>
      <c r="O62" s="4"/>
      <c r="P62" s="4">
        <v>0</v>
      </c>
      <c r="Q62" s="4">
        <v>36</v>
      </c>
      <c r="R62" s="4">
        <v>13</v>
      </c>
      <c r="S62" s="4">
        <v>17</v>
      </c>
      <c r="T62" s="4">
        <v>7</v>
      </c>
      <c r="U62" s="4">
        <v>0</v>
      </c>
      <c r="V62" s="4">
        <v>0</v>
      </c>
      <c r="W62" s="4">
        <v>10</v>
      </c>
      <c r="X62" s="4">
        <v>1</v>
      </c>
      <c r="Y62" s="4">
        <v>2</v>
      </c>
      <c r="Z62" s="4">
        <v>0</v>
      </c>
      <c r="AA62" s="4">
        <v>424</v>
      </c>
      <c r="AB62" s="4">
        <v>475</v>
      </c>
      <c r="AC62" s="4">
        <v>1</v>
      </c>
      <c r="AD62" s="4">
        <v>39</v>
      </c>
      <c r="AE62" s="4">
        <v>3</v>
      </c>
      <c r="AF62" s="4" t="s">
        <v>1680</v>
      </c>
      <c r="AG62" s="4">
        <v>7</v>
      </c>
      <c r="AH62" s="4" t="s">
        <v>1680</v>
      </c>
      <c r="AI62" s="4">
        <v>10</v>
      </c>
      <c r="AJ62" s="4">
        <v>13</v>
      </c>
      <c r="AK62" s="4">
        <v>7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0.76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7</v>
      </c>
      <c r="BD62" s="4">
        <v>3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1</v>
      </c>
      <c r="CX62" s="4">
        <v>1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1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6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10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2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1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1</v>
      </c>
      <c r="HT62" s="4">
        <v>0</v>
      </c>
      <c r="HU62" s="4">
        <v>0</v>
      </c>
      <c r="HV62" s="4">
        <v>0</v>
      </c>
      <c r="HW62" s="4">
        <v>5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0</v>
      </c>
      <c r="OC62" s="4">
        <v>0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0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4">
        <v>0</v>
      </c>
      <c r="PH62" s="4">
        <v>0</v>
      </c>
      <c r="PI62" s="4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1</v>
      </c>
      <c r="PP62" s="4">
        <v>78</v>
      </c>
      <c r="PQ62" s="4">
        <v>18</v>
      </c>
      <c r="PR62" s="4">
        <v>18</v>
      </c>
      <c r="PS62" s="4">
        <v>10</v>
      </c>
      <c r="PT62" s="4">
        <v>0</v>
      </c>
      <c r="PU62" s="4">
        <v>0</v>
      </c>
      <c r="PV62" s="4">
        <v>9</v>
      </c>
      <c r="PW62" s="4">
        <v>3</v>
      </c>
      <c r="PX62" s="4">
        <v>6</v>
      </c>
      <c r="PY62" s="4">
        <v>0</v>
      </c>
      <c r="PZ62" s="4">
        <v>421</v>
      </c>
      <c r="QA62" s="4">
        <v>475</v>
      </c>
      <c r="QB62" s="4">
        <v>0</v>
      </c>
      <c r="QC62" s="4">
        <v>43</v>
      </c>
      <c r="QD62" s="4">
        <v>2</v>
      </c>
      <c r="QE62" s="4" t="s">
        <v>1676</v>
      </c>
      <c r="QF62" s="4">
        <v>10</v>
      </c>
      <c r="QG62" s="4" t="s">
        <v>1678</v>
      </c>
      <c r="QH62" s="4">
        <v>11</v>
      </c>
      <c r="QI62" s="4">
        <v>75</v>
      </c>
      <c r="QJ62" s="4">
        <v>5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1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0</v>
      </c>
      <c r="RA62" s="4">
        <v>0</v>
      </c>
      <c r="RB62" s="4">
        <v>9</v>
      </c>
      <c r="RC62" s="4">
        <v>3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1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1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0</v>
      </c>
      <c r="UH62" s="4">
        <v>0</v>
      </c>
      <c r="UI62" s="4">
        <v>0</v>
      </c>
      <c r="UJ62" s="4">
        <v>0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3</v>
      </c>
      <c r="UU62" s="4">
        <v>0</v>
      </c>
      <c r="UV62" s="4">
        <v>0</v>
      </c>
      <c r="UW62" s="4">
        <v>0</v>
      </c>
      <c r="UX62" s="4">
        <v>0</v>
      </c>
      <c r="UY62" s="4">
        <v>1</v>
      </c>
      <c r="UZ62" s="4">
        <v>0</v>
      </c>
      <c r="VA62" s="4">
        <v>2</v>
      </c>
      <c r="VB62" s="4">
        <v>0</v>
      </c>
      <c r="VC62" s="4">
        <v>0</v>
      </c>
      <c r="VD62" s="4">
        <v>0</v>
      </c>
      <c r="VE62" s="4">
        <v>0</v>
      </c>
      <c r="VF62" s="4">
        <v>2</v>
      </c>
      <c r="VG62" s="4">
        <v>0</v>
      </c>
      <c r="VH62" s="4">
        <v>2</v>
      </c>
      <c r="VI62" s="4">
        <v>0</v>
      </c>
      <c r="VJ62" s="4">
        <v>0</v>
      </c>
      <c r="VK62" s="4">
        <v>0</v>
      </c>
      <c r="VL62" s="4">
        <v>0</v>
      </c>
      <c r="VM62" s="4">
        <v>0</v>
      </c>
      <c r="VN62" s="4">
        <v>0</v>
      </c>
      <c r="VO62" s="4">
        <v>0</v>
      </c>
      <c r="VP62" s="4">
        <v>0</v>
      </c>
      <c r="VQ62" s="4">
        <v>0</v>
      </c>
      <c r="VR62" s="4">
        <v>0</v>
      </c>
      <c r="VS62" s="4">
        <v>3</v>
      </c>
      <c r="VT62" s="4">
        <v>0</v>
      </c>
      <c r="VU62" s="4">
        <v>0</v>
      </c>
      <c r="VV62" s="4">
        <v>0</v>
      </c>
      <c r="VW62" s="4">
        <v>0</v>
      </c>
      <c r="VX62" s="4">
        <v>0</v>
      </c>
      <c r="VY62" s="4">
        <v>0</v>
      </c>
      <c r="VZ62" s="4">
        <v>0</v>
      </c>
      <c r="WA62" s="4">
        <v>0</v>
      </c>
      <c r="WB62" s="4">
        <v>0</v>
      </c>
      <c r="WC62" s="4">
        <v>0</v>
      </c>
      <c r="WD62" s="4">
        <v>0</v>
      </c>
      <c r="WE62" s="4">
        <v>0</v>
      </c>
      <c r="WF62" s="4">
        <v>0</v>
      </c>
      <c r="WG62" s="4">
        <v>0</v>
      </c>
      <c r="WH62" s="4">
        <v>0</v>
      </c>
      <c r="WI62" s="4">
        <v>0</v>
      </c>
      <c r="WJ62" s="4">
        <v>0</v>
      </c>
      <c r="WK62" s="4">
        <v>0</v>
      </c>
      <c r="WL62" s="4">
        <v>0</v>
      </c>
      <c r="WM62" s="4">
        <v>0</v>
      </c>
      <c r="WN62" s="4">
        <v>0</v>
      </c>
      <c r="WO62" s="4">
        <v>0</v>
      </c>
      <c r="WP62" s="4">
        <v>0</v>
      </c>
      <c r="WQ62" s="4">
        <v>0</v>
      </c>
      <c r="WR62" s="4">
        <v>0</v>
      </c>
      <c r="WS62" s="4">
        <v>0</v>
      </c>
      <c r="WT62" s="4">
        <v>5</v>
      </c>
      <c r="WU62" s="4">
        <v>0</v>
      </c>
      <c r="WV62" s="4">
        <v>0</v>
      </c>
      <c r="WW62" s="4">
        <v>0</v>
      </c>
      <c r="WX62" s="4">
        <v>0</v>
      </c>
      <c r="WY62" s="4">
        <v>0</v>
      </c>
      <c r="WZ62" s="4">
        <v>0</v>
      </c>
      <c r="XA62" s="4">
        <v>0</v>
      </c>
      <c r="XB62" s="4">
        <v>0</v>
      </c>
      <c r="XC62" s="4">
        <v>0</v>
      </c>
      <c r="XD62" s="4">
        <v>0</v>
      </c>
      <c r="XE62" s="4">
        <v>0</v>
      </c>
      <c r="XF62" s="4">
        <v>0</v>
      </c>
      <c r="XG62" s="4">
        <v>0</v>
      </c>
      <c r="XH62" s="4">
        <v>0</v>
      </c>
      <c r="XI62" s="4">
        <v>0</v>
      </c>
      <c r="XJ62" s="4">
        <v>0</v>
      </c>
      <c r="XK62" s="4">
        <v>0</v>
      </c>
      <c r="XL62" s="4">
        <v>0</v>
      </c>
      <c r="XM62" s="4">
        <v>0</v>
      </c>
      <c r="XN62" s="4">
        <v>0</v>
      </c>
      <c r="XO62" s="4">
        <v>0</v>
      </c>
      <c r="XP62" s="4">
        <v>0</v>
      </c>
      <c r="XQ62" s="4">
        <v>0</v>
      </c>
      <c r="XR62" s="4">
        <v>0</v>
      </c>
      <c r="XS62" s="4">
        <v>0</v>
      </c>
      <c r="XT62" s="4">
        <v>0</v>
      </c>
      <c r="XU62" s="4">
        <v>0</v>
      </c>
      <c r="XV62" s="4">
        <v>7</v>
      </c>
      <c r="XW62" s="4">
        <v>0</v>
      </c>
      <c r="XX62" s="4">
        <v>0</v>
      </c>
      <c r="XY62" s="4">
        <v>4</v>
      </c>
      <c r="XZ62" s="4">
        <v>0</v>
      </c>
      <c r="YA62" s="4">
        <v>0</v>
      </c>
      <c r="YB62" s="4">
        <v>0</v>
      </c>
      <c r="YC62" s="4">
        <v>0</v>
      </c>
      <c r="YD62" s="4">
        <v>0</v>
      </c>
      <c r="YE62" s="4">
        <v>0</v>
      </c>
      <c r="YF62" s="4">
        <v>0</v>
      </c>
      <c r="YG62" s="4">
        <v>0</v>
      </c>
      <c r="YH62" s="4">
        <v>0</v>
      </c>
      <c r="YI62" s="4">
        <v>0</v>
      </c>
      <c r="YJ62" s="4">
        <v>0</v>
      </c>
      <c r="YK62" s="4">
        <v>0</v>
      </c>
      <c r="YL62" s="4">
        <v>0</v>
      </c>
      <c r="YM62" s="4">
        <v>0</v>
      </c>
      <c r="YN62" s="4">
        <v>0</v>
      </c>
      <c r="YO62" s="4">
        <v>0</v>
      </c>
      <c r="YP62" s="4">
        <v>0</v>
      </c>
      <c r="YQ62" s="4">
        <v>0</v>
      </c>
      <c r="YR62" s="4">
        <v>0</v>
      </c>
      <c r="YS62" s="4">
        <v>0</v>
      </c>
      <c r="YT62" s="4">
        <v>0</v>
      </c>
      <c r="YU62" s="4">
        <v>0</v>
      </c>
      <c r="YV62" s="4">
        <v>0</v>
      </c>
      <c r="YW62" s="4">
        <v>0</v>
      </c>
      <c r="YX62" s="4">
        <v>0</v>
      </c>
      <c r="YY62" s="4">
        <v>0</v>
      </c>
      <c r="YZ62" s="4">
        <v>0</v>
      </c>
      <c r="ZA62" s="4">
        <v>0</v>
      </c>
      <c r="ZB62" s="4">
        <v>0</v>
      </c>
      <c r="ZC62" s="4">
        <v>0</v>
      </c>
      <c r="ZD62" s="4">
        <v>0</v>
      </c>
      <c r="ZE62" s="4">
        <v>0</v>
      </c>
      <c r="ZF62" s="4">
        <v>0</v>
      </c>
      <c r="ZG62" s="4">
        <v>0</v>
      </c>
      <c r="ZH62" s="4">
        <v>0</v>
      </c>
      <c r="ZI62" s="4">
        <v>0</v>
      </c>
      <c r="ZJ62" s="4">
        <v>0</v>
      </c>
      <c r="ZK62" s="4">
        <v>0</v>
      </c>
      <c r="ZL62" s="4">
        <v>0</v>
      </c>
      <c r="ZM62" s="4">
        <v>0</v>
      </c>
      <c r="ZN62" s="4">
        <v>0</v>
      </c>
      <c r="ZO62" s="4">
        <v>0</v>
      </c>
      <c r="ZP62" s="4">
        <v>0</v>
      </c>
      <c r="ZQ62" s="4">
        <v>0</v>
      </c>
      <c r="ZR62" s="4">
        <v>0</v>
      </c>
      <c r="ZS62" s="4">
        <v>0</v>
      </c>
      <c r="ZT62" s="4">
        <v>0</v>
      </c>
      <c r="ZU62" s="4">
        <v>0</v>
      </c>
      <c r="ZV62" s="4">
        <v>0</v>
      </c>
      <c r="ZW62" s="4">
        <v>0</v>
      </c>
      <c r="ZX62" s="4">
        <v>0</v>
      </c>
      <c r="ZY62" s="4">
        <v>0</v>
      </c>
      <c r="ZZ62" s="4">
        <v>0</v>
      </c>
      <c r="AAA62" s="4">
        <v>0</v>
      </c>
      <c r="AAB62" s="4">
        <v>0</v>
      </c>
      <c r="AAC62" s="4">
        <v>0</v>
      </c>
      <c r="AAD62" s="4">
        <v>0</v>
      </c>
      <c r="AAE62" s="4">
        <v>0</v>
      </c>
      <c r="AAF62" s="4">
        <v>0</v>
      </c>
      <c r="AAG62" s="4">
        <v>0</v>
      </c>
      <c r="AAH62" s="4">
        <v>0</v>
      </c>
      <c r="AAI62" s="4">
        <v>0</v>
      </c>
      <c r="AAJ62" s="4">
        <v>0</v>
      </c>
      <c r="AAK62" s="4">
        <v>0</v>
      </c>
      <c r="AAL62" s="4">
        <v>0</v>
      </c>
      <c r="AAM62" s="4">
        <v>0</v>
      </c>
      <c r="AAN62" s="4">
        <v>0</v>
      </c>
      <c r="AAO62" s="4">
        <v>0</v>
      </c>
      <c r="AAP62" s="4">
        <v>0</v>
      </c>
      <c r="AAQ62" s="4">
        <v>0</v>
      </c>
      <c r="AAR62" s="4">
        <v>0</v>
      </c>
      <c r="AAS62" s="4">
        <v>0</v>
      </c>
      <c r="AAT62" s="4">
        <v>0</v>
      </c>
      <c r="AAU62" s="4">
        <v>0</v>
      </c>
      <c r="AAV62" s="4">
        <v>0</v>
      </c>
      <c r="AAW62" s="4">
        <v>0</v>
      </c>
      <c r="AAX62" s="4">
        <v>0</v>
      </c>
      <c r="AAY62" s="4">
        <v>0</v>
      </c>
      <c r="AAZ62" s="4">
        <v>0</v>
      </c>
      <c r="ABA62" s="4">
        <v>0</v>
      </c>
      <c r="ABB62" s="4">
        <v>0</v>
      </c>
      <c r="ABC62" s="4">
        <v>0</v>
      </c>
      <c r="ABD62" s="4">
        <v>0</v>
      </c>
      <c r="ABE62" s="4">
        <v>0</v>
      </c>
      <c r="ABF62" s="4">
        <v>0</v>
      </c>
      <c r="ABG62" s="4">
        <v>0</v>
      </c>
      <c r="ABH62" s="4">
        <v>0</v>
      </c>
      <c r="ABI62" s="4">
        <v>0</v>
      </c>
      <c r="ABJ62" s="4">
        <v>0</v>
      </c>
      <c r="ABK62" s="4">
        <v>0</v>
      </c>
      <c r="ABL62" s="4">
        <v>0</v>
      </c>
      <c r="ABM62" s="4">
        <v>0</v>
      </c>
      <c r="ABN62" s="4">
        <v>0</v>
      </c>
      <c r="ABO62" s="4">
        <v>0</v>
      </c>
      <c r="ABP62" s="4">
        <v>0</v>
      </c>
      <c r="ABQ62" s="4">
        <v>0</v>
      </c>
      <c r="ABR62" s="4">
        <v>0</v>
      </c>
      <c r="ABS62" s="4">
        <v>0</v>
      </c>
      <c r="ABT62" s="4">
        <v>0</v>
      </c>
      <c r="ABU62" s="4">
        <v>0</v>
      </c>
      <c r="ABV62" s="4">
        <v>0</v>
      </c>
      <c r="ABW62" s="4">
        <v>0</v>
      </c>
      <c r="ABX62" s="4">
        <v>0</v>
      </c>
      <c r="ABY62" s="4">
        <v>0</v>
      </c>
      <c r="ABZ62" s="4">
        <v>0</v>
      </c>
      <c r="ACA62" s="4">
        <v>0</v>
      </c>
      <c r="ACB62" s="4">
        <v>0</v>
      </c>
      <c r="ACC62" s="4">
        <v>0</v>
      </c>
      <c r="ACD62" s="4">
        <v>0</v>
      </c>
      <c r="ACE62" s="4">
        <v>0</v>
      </c>
      <c r="ACF62" s="4">
        <v>0</v>
      </c>
      <c r="ACG62" s="4">
        <v>0</v>
      </c>
      <c r="ACH62" s="4">
        <v>0</v>
      </c>
      <c r="ACI62" s="4">
        <v>0</v>
      </c>
      <c r="ACJ62" s="4">
        <v>0</v>
      </c>
      <c r="ACK62" s="4">
        <v>0</v>
      </c>
      <c r="ACL62" s="4">
        <v>0</v>
      </c>
      <c r="ACM62" s="4">
        <v>0</v>
      </c>
      <c r="ACN62" s="4">
        <v>0</v>
      </c>
      <c r="ACO62" s="4">
        <v>0</v>
      </c>
      <c r="ACP62" s="4">
        <v>0</v>
      </c>
      <c r="ACQ62" s="4">
        <v>0</v>
      </c>
      <c r="ACR62" s="4">
        <v>0</v>
      </c>
      <c r="ACS62" s="4">
        <v>0</v>
      </c>
      <c r="ACT62" s="4">
        <v>0</v>
      </c>
      <c r="ACU62" s="4">
        <v>0</v>
      </c>
      <c r="ACV62" s="4">
        <v>0</v>
      </c>
      <c r="ACW62" s="4">
        <v>0</v>
      </c>
      <c r="ACX62" s="4">
        <v>0</v>
      </c>
      <c r="ACY62" s="4">
        <v>0</v>
      </c>
      <c r="ACZ62" s="4">
        <v>0</v>
      </c>
      <c r="ADA62" s="4">
        <v>0</v>
      </c>
      <c r="ADB62" s="4">
        <v>0</v>
      </c>
      <c r="ADC62" s="4">
        <v>0</v>
      </c>
      <c r="ADD62" s="4">
        <v>0</v>
      </c>
      <c r="ADE62" s="4">
        <v>0</v>
      </c>
      <c r="ADF62" s="4">
        <v>0</v>
      </c>
      <c r="ADG62" s="4">
        <v>0</v>
      </c>
      <c r="ADH62" s="4">
        <v>0</v>
      </c>
      <c r="ADI62" s="4">
        <v>0</v>
      </c>
      <c r="ADJ62" s="4">
        <v>0</v>
      </c>
      <c r="ADK62" s="4">
        <v>0</v>
      </c>
      <c r="ADL62" s="4">
        <v>0</v>
      </c>
      <c r="ADM62" s="4">
        <v>0</v>
      </c>
      <c r="ADN62" s="4">
        <v>0</v>
      </c>
      <c r="ADO62" s="4">
        <v>0</v>
      </c>
      <c r="ADP62" s="4">
        <v>0</v>
      </c>
      <c r="ADQ62" s="4">
        <v>0</v>
      </c>
      <c r="ADR62" s="4">
        <v>0</v>
      </c>
      <c r="ADS62" s="4">
        <v>0</v>
      </c>
      <c r="ADT62" s="4">
        <v>0</v>
      </c>
      <c r="ADU62" s="4">
        <v>0</v>
      </c>
      <c r="ADV62" s="4">
        <v>0</v>
      </c>
      <c r="ADW62" s="4">
        <v>0</v>
      </c>
      <c r="ADX62" s="4">
        <v>0</v>
      </c>
      <c r="ADY62" s="4">
        <v>0</v>
      </c>
      <c r="ADZ62" s="4">
        <v>0</v>
      </c>
      <c r="AEA62" s="4">
        <v>0</v>
      </c>
      <c r="AEB62" s="4">
        <v>0</v>
      </c>
      <c r="AEC62" s="4">
        <v>0</v>
      </c>
      <c r="AED62" s="4">
        <v>0</v>
      </c>
      <c r="AEE62" s="4">
        <v>0</v>
      </c>
      <c r="AEF62" s="4">
        <v>0</v>
      </c>
      <c r="AEG62" s="4">
        <v>0</v>
      </c>
      <c r="AEH62" s="4">
        <v>0</v>
      </c>
      <c r="AEI62" s="4">
        <v>0</v>
      </c>
      <c r="AEJ62" s="4">
        <v>0</v>
      </c>
      <c r="AEK62" s="4">
        <v>0</v>
      </c>
      <c r="AEL62" s="4">
        <v>0</v>
      </c>
      <c r="AEM62" s="4">
        <v>0</v>
      </c>
      <c r="AEN62" s="4">
        <v>0</v>
      </c>
      <c r="AEO62" s="4">
        <v>0</v>
      </c>
      <c r="AEP62" s="4">
        <v>0</v>
      </c>
      <c r="AEQ62" s="4">
        <v>0</v>
      </c>
      <c r="AER62" s="4">
        <v>0</v>
      </c>
      <c r="AES62" s="4">
        <v>0</v>
      </c>
      <c r="AET62" s="4">
        <v>0</v>
      </c>
      <c r="AEU62" s="4">
        <v>0</v>
      </c>
      <c r="AEV62" s="4">
        <v>0</v>
      </c>
      <c r="AEW62" s="4">
        <v>0</v>
      </c>
      <c r="AEX62" s="4">
        <v>0</v>
      </c>
      <c r="AEY62" s="4">
        <v>0</v>
      </c>
      <c r="AEZ62" s="4">
        <v>0</v>
      </c>
      <c r="AFA62" s="4">
        <v>0</v>
      </c>
      <c r="AFB62" s="4">
        <v>0</v>
      </c>
      <c r="AFC62" s="4">
        <v>0</v>
      </c>
      <c r="AFD62" s="4">
        <v>0</v>
      </c>
      <c r="AFE62" s="4">
        <v>0</v>
      </c>
      <c r="AFF62" s="4">
        <v>0</v>
      </c>
      <c r="AFG62" s="4">
        <v>0</v>
      </c>
      <c r="AFH62" s="4">
        <v>0</v>
      </c>
      <c r="AFI62" s="4">
        <v>0</v>
      </c>
      <c r="AFJ62" s="4">
        <v>0</v>
      </c>
      <c r="AFK62" s="4">
        <v>0</v>
      </c>
      <c r="AFL62" s="4">
        <v>0</v>
      </c>
      <c r="AFM62" s="4">
        <v>0</v>
      </c>
      <c r="AFN62" s="4">
        <v>1</v>
      </c>
      <c r="AFO62" s="4">
        <v>72</v>
      </c>
      <c r="AFP62" s="4">
        <v>19</v>
      </c>
      <c r="AFQ62" s="4">
        <v>13</v>
      </c>
      <c r="AFR62" s="4">
        <v>4</v>
      </c>
      <c r="AFS62" s="4">
        <v>0</v>
      </c>
      <c r="AFT62" s="4">
        <v>0</v>
      </c>
      <c r="AFU62" s="4">
        <v>14</v>
      </c>
      <c r="AFV62" s="4">
        <v>1</v>
      </c>
      <c r="AFW62" s="4">
        <v>3</v>
      </c>
      <c r="AFX62" s="4">
        <v>1</v>
      </c>
      <c r="AFY62" s="4">
        <v>436</v>
      </c>
      <c r="AFZ62" s="4">
        <v>475</v>
      </c>
      <c r="AGA62" s="4">
        <v>0</v>
      </c>
      <c r="AGB62" s="4">
        <v>45</v>
      </c>
      <c r="AGC62" s="4">
        <v>4</v>
      </c>
      <c r="AGD62" s="4" t="s">
        <v>1678</v>
      </c>
      <c r="AGE62" s="4">
        <v>12</v>
      </c>
      <c r="AGF62" s="4" t="s">
        <v>1678</v>
      </c>
      <c r="AGG62" s="4">
        <v>7</v>
      </c>
      <c r="AGH62" s="4">
        <v>17</v>
      </c>
      <c r="AGI62" s="4">
        <v>4</v>
      </c>
      <c r="AGJ62" s="4">
        <v>0</v>
      </c>
      <c r="AGK62" s="4">
        <v>0</v>
      </c>
      <c r="AGL62" s="4">
        <v>0</v>
      </c>
      <c r="AGM62" s="4">
        <v>0</v>
      </c>
      <c r="AGN62" s="4">
        <v>0</v>
      </c>
      <c r="AGO62" s="4">
        <v>0</v>
      </c>
      <c r="AGP62" s="4">
        <v>0</v>
      </c>
      <c r="AGQ62" s="4">
        <v>0</v>
      </c>
      <c r="AGR62" s="4">
        <v>1.46</v>
      </c>
      <c r="AGS62" s="4">
        <v>0</v>
      </c>
      <c r="AGT62" s="4">
        <v>0</v>
      </c>
      <c r="AGU62" s="4">
        <v>0</v>
      </c>
      <c r="AGV62" s="4">
        <v>0</v>
      </c>
      <c r="AGW62" s="4">
        <v>0</v>
      </c>
      <c r="AGX62" s="4">
        <v>0</v>
      </c>
      <c r="AGY62" s="4">
        <v>0</v>
      </c>
      <c r="AGZ62" s="4">
        <v>0</v>
      </c>
      <c r="AHA62" s="4">
        <v>4</v>
      </c>
      <c r="AHB62" s="4">
        <v>4</v>
      </c>
      <c r="AHC62" s="4">
        <v>0</v>
      </c>
      <c r="AHD62" s="4">
        <v>0</v>
      </c>
      <c r="AHE62" s="4">
        <v>0</v>
      </c>
      <c r="AHF62" s="4">
        <v>0</v>
      </c>
      <c r="AHG62" s="4">
        <v>0</v>
      </c>
      <c r="AHH62" s="4">
        <v>0</v>
      </c>
      <c r="AHI62" s="4">
        <v>0</v>
      </c>
      <c r="AHJ62" s="4">
        <v>0</v>
      </c>
      <c r="AHK62" s="4">
        <v>0</v>
      </c>
      <c r="AHL62" s="4">
        <v>0</v>
      </c>
      <c r="AHM62" s="4">
        <v>0</v>
      </c>
      <c r="AHN62" s="4">
        <v>0</v>
      </c>
      <c r="AHO62" s="4">
        <v>0</v>
      </c>
      <c r="AHP62" s="4">
        <v>0</v>
      </c>
      <c r="AHQ62" s="4">
        <v>0</v>
      </c>
      <c r="AHR62" s="4">
        <v>0</v>
      </c>
      <c r="AHS62" s="4">
        <v>0</v>
      </c>
      <c r="AHT62" s="4">
        <v>0</v>
      </c>
      <c r="AHU62" s="4">
        <v>0</v>
      </c>
      <c r="AHV62" s="4">
        <v>0</v>
      </c>
      <c r="AHW62" s="4">
        <v>0</v>
      </c>
      <c r="AHX62" s="4">
        <v>0</v>
      </c>
      <c r="AHY62" s="4">
        <v>0</v>
      </c>
      <c r="AHZ62" s="4">
        <v>0</v>
      </c>
      <c r="AIA62" s="4">
        <v>0</v>
      </c>
      <c r="AIB62" s="4">
        <v>0</v>
      </c>
      <c r="AIC62" s="4">
        <v>0</v>
      </c>
      <c r="AID62" s="4">
        <v>0</v>
      </c>
      <c r="AIE62" s="4">
        <v>0</v>
      </c>
      <c r="AIF62" s="4">
        <v>0</v>
      </c>
      <c r="AIG62" s="4">
        <v>0</v>
      </c>
      <c r="AIH62" s="4">
        <v>0</v>
      </c>
      <c r="AII62" s="4">
        <v>0</v>
      </c>
      <c r="AIJ62" s="4">
        <v>0</v>
      </c>
      <c r="AIK62" s="4">
        <v>0</v>
      </c>
      <c r="AIL62" s="4">
        <v>0</v>
      </c>
      <c r="AIM62" s="4">
        <v>0</v>
      </c>
      <c r="AIN62" s="4">
        <v>0</v>
      </c>
      <c r="AIO62" s="4">
        <v>0</v>
      </c>
      <c r="AIP62" s="4">
        <v>0</v>
      </c>
      <c r="AIQ62" s="4">
        <v>0</v>
      </c>
      <c r="AIR62" s="4">
        <v>0</v>
      </c>
      <c r="AIS62" s="4">
        <v>0</v>
      </c>
      <c r="AIT62" s="4">
        <v>0</v>
      </c>
      <c r="AIU62" s="4">
        <v>1</v>
      </c>
      <c r="AIV62" s="4">
        <v>1</v>
      </c>
      <c r="AIW62" s="4">
        <v>0</v>
      </c>
      <c r="AIX62" s="4">
        <v>0</v>
      </c>
      <c r="AIY62" s="4">
        <v>0</v>
      </c>
      <c r="AIZ62" s="4">
        <v>0</v>
      </c>
      <c r="AJA62" s="4">
        <v>0</v>
      </c>
      <c r="AJB62" s="4">
        <v>0</v>
      </c>
      <c r="AJC62" s="4">
        <v>1</v>
      </c>
      <c r="AJD62" s="4">
        <v>0</v>
      </c>
      <c r="AJE62" s="4">
        <v>0</v>
      </c>
      <c r="AJF62" s="4">
        <v>0</v>
      </c>
      <c r="AJG62" s="4">
        <v>0</v>
      </c>
      <c r="AJH62" s="4">
        <v>0</v>
      </c>
      <c r="AJI62" s="4">
        <v>0</v>
      </c>
      <c r="AJJ62" s="4">
        <v>0</v>
      </c>
      <c r="AJK62" s="4">
        <v>0</v>
      </c>
      <c r="AJL62" s="4">
        <v>0</v>
      </c>
      <c r="AJM62" s="4">
        <v>0</v>
      </c>
      <c r="AJN62" s="4">
        <v>0</v>
      </c>
      <c r="AJO62" s="4">
        <v>1</v>
      </c>
      <c r="AJP62" s="4">
        <v>0</v>
      </c>
      <c r="AJQ62" s="4">
        <v>0</v>
      </c>
      <c r="AJR62" s="4">
        <v>0</v>
      </c>
      <c r="AJS62" s="4">
        <v>0</v>
      </c>
      <c r="AJT62" s="4">
        <v>0</v>
      </c>
      <c r="AJU62" s="4">
        <v>0</v>
      </c>
      <c r="AJV62" s="4">
        <v>0</v>
      </c>
      <c r="AJW62" s="4">
        <v>0</v>
      </c>
      <c r="AJX62" s="4">
        <v>0</v>
      </c>
      <c r="AJY62" s="4">
        <v>0</v>
      </c>
      <c r="AJZ62" s="4">
        <v>0</v>
      </c>
      <c r="AKA62" s="4">
        <v>0</v>
      </c>
      <c r="AKB62" s="4">
        <v>0</v>
      </c>
      <c r="AKC62" s="4">
        <v>0</v>
      </c>
      <c r="AKD62" s="4">
        <v>0</v>
      </c>
      <c r="AKE62" s="4">
        <v>0</v>
      </c>
      <c r="AKF62" s="4">
        <v>0</v>
      </c>
      <c r="AKG62" s="4">
        <v>0</v>
      </c>
      <c r="AKH62" s="4">
        <v>0</v>
      </c>
      <c r="AKI62" s="4">
        <v>0</v>
      </c>
      <c r="AKJ62" s="4">
        <v>0</v>
      </c>
      <c r="AKK62" s="4">
        <v>0</v>
      </c>
      <c r="AKL62" s="4">
        <v>0</v>
      </c>
      <c r="AKM62" s="4">
        <v>0</v>
      </c>
      <c r="AKN62" s="4">
        <v>0</v>
      </c>
      <c r="AKO62" s="4">
        <v>0</v>
      </c>
      <c r="AKP62" s="4">
        <v>0</v>
      </c>
      <c r="AKQ62" s="4">
        <v>0</v>
      </c>
      <c r="AKR62" s="4">
        <v>0</v>
      </c>
      <c r="AKS62" s="4">
        <v>1</v>
      </c>
      <c r="AKT62" s="4">
        <v>0</v>
      </c>
      <c r="AKU62" s="4">
        <v>0</v>
      </c>
      <c r="AKV62" s="4">
        <v>0</v>
      </c>
      <c r="AKW62" s="4">
        <v>0</v>
      </c>
      <c r="AKX62" s="4">
        <v>0</v>
      </c>
      <c r="AKY62" s="4">
        <v>0</v>
      </c>
      <c r="AKZ62" s="4">
        <v>0</v>
      </c>
      <c r="ALA62" s="4">
        <v>0</v>
      </c>
      <c r="ALB62" s="4">
        <v>0</v>
      </c>
      <c r="ALC62" s="4">
        <v>0</v>
      </c>
      <c r="ALD62" s="4">
        <v>0</v>
      </c>
      <c r="ALE62" s="4">
        <v>4</v>
      </c>
      <c r="ALF62" s="4">
        <v>0</v>
      </c>
      <c r="ALG62" s="4">
        <v>4</v>
      </c>
      <c r="ALH62" s="4">
        <v>0</v>
      </c>
      <c r="ALI62" s="4">
        <v>0</v>
      </c>
      <c r="ALJ62" s="4">
        <v>0</v>
      </c>
      <c r="ALK62" s="4">
        <v>0</v>
      </c>
      <c r="ALL62" s="4">
        <v>0</v>
      </c>
      <c r="ALM62" s="4">
        <v>0</v>
      </c>
      <c r="ALN62" s="4">
        <v>0</v>
      </c>
      <c r="ALO62" s="4">
        <v>0</v>
      </c>
      <c r="ALP62" s="4">
        <v>0</v>
      </c>
      <c r="ALQ62" s="4">
        <v>0</v>
      </c>
      <c r="ALR62" s="4">
        <v>4</v>
      </c>
      <c r="ALS62" s="4">
        <v>1</v>
      </c>
      <c r="ALT62" s="4">
        <v>0</v>
      </c>
      <c r="ALU62" s="4">
        <v>0</v>
      </c>
      <c r="ALV62" s="4">
        <v>0</v>
      </c>
      <c r="ALW62" s="4">
        <v>0</v>
      </c>
      <c r="ALX62" s="4">
        <v>0</v>
      </c>
      <c r="ALY62" s="4">
        <v>0</v>
      </c>
      <c r="ALZ62" s="4">
        <v>0</v>
      </c>
      <c r="AMA62" s="4">
        <v>0</v>
      </c>
      <c r="AMB62" s="4">
        <v>0</v>
      </c>
      <c r="AMC62" s="4">
        <v>0</v>
      </c>
      <c r="AMD62" s="4">
        <v>0</v>
      </c>
      <c r="AME62" s="4">
        <v>0</v>
      </c>
      <c r="AMF62" s="4">
        <v>0</v>
      </c>
      <c r="AMG62" s="4">
        <v>0</v>
      </c>
      <c r="AMH62" s="4">
        <v>0</v>
      </c>
      <c r="AMI62" s="4">
        <v>0</v>
      </c>
      <c r="AMJ62" s="4">
        <v>0</v>
      </c>
      <c r="AMK62" s="4">
        <v>0</v>
      </c>
      <c r="AML62" s="4">
        <v>2</v>
      </c>
      <c r="AMM62" s="4">
        <v>0</v>
      </c>
      <c r="AMN62" s="4">
        <v>1</v>
      </c>
      <c r="AMO62" s="4">
        <v>0</v>
      </c>
      <c r="AMP62" s="4">
        <v>0</v>
      </c>
      <c r="AMQ62" s="4">
        <v>0</v>
      </c>
      <c r="AMR62" s="4">
        <v>0</v>
      </c>
      <c r="AMS62" s="4">
        <v>2</v>
      </c>
      <c r="AMT62" s="4">
        <v>0</v>
      </c>
      <c r="AMU62" s="4">
        <v>0</v>
      </c>
      <c r="AMV62" s="4">
        <v>0</v>
      </c>
      <c r="AMW62" s="4">
        <v>0</v>
      </c>
      <c r="AMX62" s="4">
        <v>0</v>
      </c>
      <c r="AMY62" s="4">
        <v>0</v>
      </c>
      <c r="AMZ62" s="4">
        <v>0</v>
      </c>
      <c r="ANA62" s="4">
        <v>0</v>
      </c>
      <c r="ANB62" s="4">
        <v>0</v>
      </c>
      <c r="ANC62" s="4">
        <v>0</v>
      </c>
      <c r="AND62" s="4">
        <v>0</v>
      </c>
      <c r="ANE62" s="4">
        <v>0</v>
      </c>
      <c r="ANF62" s="4">
        <v>0</v>
      </c>
      <c r="ANG62" s="4">
        <v>0</v>
      </c>
      <c r="ANH62" s="4">
        <v>1</v>
      </c>
      <c r="ANI62" s="4">
        <v>0</v>
      </c>
      <c r="ANJ62" s="4">
        <v>0</v>
      </c>
      <c r="ANK62" s="4">
        <v>0</v>
      </c>
      <c r="ANL62" s="4">
        <v>0</v>
      </c>
      <c r="ANM62" s="4">
        <v>0</v>
      </c>
      <c r="ANN62" s="4">
        <v>0</v>
      </c>
      <c r="ANO62" s="4">
        <v>0</v>
      </c>
      <c r="ANP62" s="4">
        <v>0</v>
      </c>
      <c r="ANQ62" s="4">
        <v>1</v>
      </c>
      <c r="ANR62" s="4">
        <v>0</v>
      </c>
      <c r="ANS62" s="4">
        <v>0</v>
      </c>
      <c r="ANT62" s="4">
        <v>0</v>
      </c>
      <c r="ANU62" s="4">
        <v>2</v>
      </c>
      <c r="ANV62" s="4">
        <v>0</v>
      </c>
      <c r="ANW62" s="4">
        <v>0</v>
      </c>
      <c r="ANX62" s="4">
        <v>3</v>
      </c>
      <c r="ANY62" s="4">
        <v>0</v>
      </c>
      <c r="ANZ62" s="4">
        <v>0</v>
      </c>
      <c r="AOA62" s="4">
        <v>0</v>
      </c>
      <c r="AOB62" s="4">
        <v>0</v>
      </c>
      <c r="AOC62" s="4">
        <v>0</v>
      </c>
      <c r="AOD62" s="4">
        <v>0</v>
      </c>
      <c r="AOE62" s="4">
        <v>0</v>
      </c>
      <c r="AOF62" s="4">
        <v>0</v>
      </c>
      <c r="AOG62" s="4">
        <v>2</v>
      </c>
      <c r="AOH62" s="4">
        <v>0</v>
      </c>
      <c r="AOI62" s="4">
        <v>0</v>
      </c>
      <c r="AOJ62" s="4">
        <v>0</v>
      </c>
      <c r="AOK62" s="4">
        <v>0</v>
      </c>
      <c r="AOL62" s="4">
        <v>0</v>
      </c>
      <c r="AOM62" s="4">
        <v>0</v>
      </c>
      <c r="AON62" s="4">
        <v>0</v>
      </c>
      <c r="AOO62" s="4">
        <v>0</v>
      </c>
      <c r="AOP62" s="4">
        <v>0</v>
      </c>
      <c r="AOQ62" s="4">
        <v>0</v>
      </c>
      <c r="AOR62" s="4">
        <v>0</v>
      </c>
      <c r="AOS62" s="4">
        <v>0</v>
      </c>
      <c r="AOT62" s="4">
        <v>0</v>
      </c>
      <c r="AOU62" s="4">
        <v>0</v>
      </c>
      <c r="AOV62" s="4">
        <v>0</v>
      </c>
      <c r="AOW62" s="4">
        <v>0</v>
      </c>
      <c r="AOX62" s="4">
        <v>0</v>
      </c>
      <c r="AOY62" s="4">
        <v>0</v>
      </c>
      <c r="AOZ62" s="4">
        <v>0</v>
      </c>
      <c r="APA62" s="4">
        <v>0</v>
      </c>
      <c r="APB62" s="4">
        <v>1</v>
      </c>
      <c r="APC62" s="4">
        <v>0</v>
      </c>
      <c r="APD62" s="4">
        <v>1</v>
      </c>
      <c r="APE62" s="4">
        <v>0</v>
      </c>
      <c r="APF62" s="4">
        <v>0</v>
      </c>
      <c r="APG62" s="4">
        <v>0</v>
      </c>
      <c r="APH62" s="4">
        <v>0</v>
      </c>
      <c r="API62" s="4">
        <v>0</v>
      </c>
      <c r="APJ62" s="4">
        <v>0</v>
      </c>
      <c r="APK62" s="4">
        <v>0</v>
      </c>
      <c r="APL62" s="4">
        <v>0</v>
      </c>
      <c r="APM62" s="4">
        <v>0</v>
      </c>
      <c r="APN62" s="4">
        <v>0</v>
      </c>
      <c r="APO62" s="4">
        <v>0</v>
      </c>
      <c r="APP62" s="4">
        <v>0</v>
      </c>
      <c r="APQ62" s="4">
        <v>0</v>
      </c>
      <c r="APR62" s="4">
        <v>0</v>
      </c>
      <c r="APS62" s="4">
        <v>0</v>
      </c>
      <c r="APT62" s="4">
        <v>0</v>
      </c>
      <c r="APU62" s="4">
        <v>0</v>
      </c>
      <c r="APV62" s="4">
        <v>0</v>
      </c>
      <c r="APW62" s="4">
        <v>0</v>
      </c>
      <c r="APX62" s="4">
        <v>0</v>
      </c>
      <c r="APY62" s="4">
        <v>0</v>
      </c>
      <c r="APZ62" s="4">
        <v>0</v>
      </c>
      <c r="AQA62" s="4">
        <v>0</v>
      </c>
      <c r="AQB62" s="4">
        <v>0</v>
      </c>
      <c r="AQC62" s="4">
        <v>0</v>
      </c>
      <c r="AQD62" s="4">
        <v>0</v>
      </c>
      <c r="AQE62" s="4">
        <v>0</v>
      </c>
      <c r="AQF62" s="4">
        <v>0</v>
      </c>
      <c r="AQG62" s="4">
        <v>0</v>
      </c>
      <c r="AQH62" s="4">
        <v>0</v>
      </c>
      <c r="AQI62" s="4">
        <v>0</v>
      </c>
      <c r="AQJ62" s="4">
        <v>0</v>
      </c>
      <c r="AQK62" s="4">
        <v>0</v>
      </c>
      <c r="AQL62" s="4">
        <v>0</v>
      </c>
      <c r="AQM62" s="4">
        <v>0</v>
      </c>
      <c r="AQN62" s="4">
        <v>0</v>
      </c>
      <c r="AQO62" s="4">
        <v>0</v>
      </c>
      <c r="AQP62" s="4">
        <v>0</v>
      </c>
      <c r="AQQ62" s="4">
        <v>0</v>
      </c>
      <c r="AQR62" s="4">
        <v>0</v>
      </c>
      <c r="AQS62" s="4">
        <v>0</v>
      </c>
      <c r="AQT62" s="4">
        <v>0</v>
      </c>
      <c r="AQU62" s="4">
        <v>0</v>
      </c>
      <c r="AQV62" s="4">
        <v>0</v>
      </c>
      <c r="AQW62" s="4">
        <v>0</v>
      </c>
      <c r="AQX62" s="4">
        <v>0</v>
      </c>
      <c r="AQY62" s="4">
        <v>3</v>
      </c>
      <c r="AQZ62" s="4">
        <v>0</v>
      </c>
      <c r="ARA62" s="4">
        <v>0</v>
      </c>
      <c r="ARB62" s="4">
        <v>0</v>
      </c>
      <c r="ARC62" s="4">
        <v>0</v>
      </c>
      <c r="ARD62" s="4">
        <v>0</v>
      </c>
      <c r="ARE62" s="4">
        <v>0</v>
      </c>
      <c r="ARF62" s="4">
        <v>0</v>
      </c>
      <c r="ARG62" s="4">
        <v>0</v>
      </c>
      <c r="ARH62" s="4">
        <v>0</v>
      </c>
      <c r="ARI62" s="4">
        <v>0</v>
      </c>
      <c r="ARJ62" s="4">
        <v>0</v>
      </c>
      <c r="ARK62" s="4">
        <v>0</v>
      </c>
      <c r="ARL62" s="4">
        <v>0</v>
      </c>
      <c r="ARM62" s="4">
        <v>0</v>
      </c>
      <c r="ARN62" s="4">
        <v>0</v>
      </c>
      <c r="ARO62" s="4">
        <v>0</v>
      </c>
      <c r="ARP62" s="4">
        <v>0</v>
      </c>
      <c r="ARQ62" s="4">
        <v>0</v>
      </c>
      <c r="ARR62" s="4">
        <v>0</v>
      </c>
      <c r="ARS62" s="4">
        <v>0</v>
      </c>
      <c r="ART62" s="4">
        <v>0</v>
      </c>
      <c r="ARU62" s="4">
        <v>0</v>
      </c>
      <c r="ARV62" s="4">
        <v>0</v>
      </c>
      <c r="ARW62" s="4">
        <v>0</v>
      </c>
      <c r="ARX62" s="4">
        <v>0</v>
      </c>
      <c r="ARY62" s="4">
        <v>0</v>
      </c>
      <c r="ARZ62" s="4">
        <v>0</v>
      </c>
      <c r="ASA62" s="4">
        <v>0</v>
      </c>
      <c r="ASB62" s="4">
        <v>0</v>
      </c>
      <c r="ASC62" s="4">
        <v>0</v>
      </c>
      <c r="ASD62" s="4">
        <v>0</v>
      </c>
      <c r="ASE62" s="4">
        <v>0</v>
      </c>
      <c r="ASF62" s="4">
        <v>0</v>
      </c>
      <c r="ASG62" s="4">
        <v>0</v>
      </c>
      <c r="ASH62" s="4">
        <v>0</v>
      </c>
      <c r="ASI62" s="4">
        <v>0</v>
      </c>
      <c r="ASJ62" s="4">
        <v>0</v>
      </c>
      <c r="ASK62" s="4">
        <v>0</v>
      </c>
      <c r="ASL62" s="4">
        <v>0</v>
      </c>
      <c r="ASM62" s="4">
        <v>0</v>
      </c>
      <c r="ASN62" s="4">
        <v>0</v>
      </c>
      <c r="ASO62" s="4">
        <v>0</v>
      </c>
      <c r="ASP62" s="4">
        <v>0</v>
      </c>
      <c r="ASQ62" s="4">
        <v>0</v>
      </c>
      <c r="ASR62" s="4">
        <v>0</v>
      </c>
      <c r="ASS62" s="4">
        <v>0</v>
      </c>
      <c r="AST62" s="4">
        <v>0</v>
      </c>
      <c r="ASU62" s="4">
        <v>0</v>
      </c>
      <c r="ASV62" s="4">
        <v>0</v>
      </c>
      <c r="ASW62" s="4">
        <v>0</v>
      </c>
      <c r="ASX62" s="4">
        <v>0</v>
      </c>
      <c r="ASY62" s="4">
        <v>0</v>
      </c>
      <c r="ASZ62" s="4">
        <v>0</v>
      </c>
      <c r="ATA62" s="4">
        <v>0</v>
      </c>
      <c r="ATB62" s="4">
        <v>0</v>
      </c>
      <c r="ATC62" s="4">
        <v>0</v>
      </c>
      <c r="ATD62" s="4">
        <v>0</v>
      </c>
      <c r="ATE62" s="4">
        <v>0</v>
      </c>
      <c r="ATF62" s="4">
        <v>0</v>
      </c>
      <c r="ATG62" s="4">
        <v>0</v>
      </c>
      <c r="ATH62" s="4">
        <v>0</v>
      </c>
      <c r="ATI62" s="4">
        <v>0</v>
      </c>
      <c r="ATJ62" s="4">
        <v>0</v>
      </c>
      <c r="ATK62" s="4">
        <v>0</v>
      </c>
      <c r="ATL62" s="4">
        <v>0</v>
      </c>
      <c r="ATM62" s="4">
        <v>0</v>
      </c>
      <c r="ATN62" s="4">
        <v>0</v>
      </c>
      <c r="ATO62" s="4">
        <v>0</v>
      </c>
      <c r="ATP62" s="4">
        <v>0</v>
      </c>
      <c r="ATQ62" s="4">
        <v>0</v>
      </c>
      <c r="ATR62" s="4">
        <v>0</v>
      </c>
      <c r="ATS62" s="4">
        <v>0</v>
      </c>
      <c r="ATT62" s="4">
        <v>0</v>
      </c>
      <c r="ATU62" s="4">
        <v>0</v>
      </c>
      <c r="ATV62" s="4">
        <v>0</v>
      </c>
      <c r="ATW62" s="4">
        <v>0</v>
      </c>
      <c r="ATX62" s="4">
        <v>0</v>
      </c>
      <c r="ATY62" s="4">
        <v>0</v>
      </c>
      <c r="ATZ62" s="4">
        <v>0</v>
      </c>
      <c r="AUA62" s="4">
        <v>0</v>
      </c>
      <c r="AUB62" s="4">
        <v>0</v>
      </c>
      <c r="AUC62" s="4">
        <v>0</v>
      </c>
      <c r="AUD62" s="4">
        <v>0</v>
      </c>
      <c r="AUE62" s="4">
        <v>0</v>
      </c>
      <c r="AUF62" s="4">
        <v>0</v>
      </c>
      <c r="AUG62" s="4">
        <v>0</v>
      </c>
      <c r="AUH62" s="4">
        <v>0</v>
      </c>
      <c r="AUI62" s="4">
        <v>0</v>
      </c>
      <c r="AUJ62" s="4">
        <v>0</v>
      </c>
      <c r="AUK62" s="4">
        <v>0</v>
      </c>
      <c r="AUL62" s="4">
        <v>0</v>
      </c>
      <c r="AUM62" s="4">
        <v>0</v>
      </c>
      <c r="AUN62" s="4">
        <v>0</v>
      </c>
      <c r="AUO62" s="4">
        <v>0</v>
      </c>
      <c r="AUP62" s="4">
        <v>0</v>
      </c>
      <c r="AUQ62" s="4">
        <v>0</v>
      </c>
      <c r="AUR62" s="4">
        <v>0</v>
      </c>
      <c r="AUS62" s="4">
        <v>0</v>
      </c>
      <c r="AUT62" s="4">
        <v>0</v>
      </c>
      <c r="AUU62" s="4">
        <v>0</v>
      </c>
      <c r="AUV62" s="4">
        <v>0</v>
      </c>
      <c r="AUW62" s="4">
        <v>0</v>
      </c>
      <c r="AUX62" s="4">
        <v>0</v>
      </c>
      <c r="AUY62" s="4">
        <v>0</v>
      </c>
      <c r="AUZ62" s="4">
        <v>0</v>
      </c>
      <c r="AVA62" s="4">
        <v>0</v>
      </c>
      <c r="AVB62" s="4">
        <v>0</v>
      </c>
      <c r="AVC62" s="4">
        <v>0</v>
      </c>
      <c r="AVD62" s="4">
        <v>0</v>
      </c>
      <c r="AVE62" s="4">
        <v>0</v>
      </c>
      <c r="AVF62" s="4">
        <v>0</v>
      </c>
      <c r="AVG62" s="4">
        <v>0</v>
      </c>
      <c r="AVH62" s="4">
        <v>0</v>
      </c>
      <c r="AVI62" s="4">
        <v>0</v>
      </c>
      <c r="AVJ62" s="4">
        <v>0</v>
      </c>
      <c r="AVK62" s="4">
        <v>0</v>
      </c>
      <c r="AVL62" s="4">
        <v>0</v>
      </c>
      <c r="AVM62" s="4">
        <v>0</v>
      </c>
      <c r="AVN62" s="4">
        <v>40</v>
      </c>
      <c r="AVO62" s="4">
        <v>18</v>
      </c>
      <c r="AVP62" s="4">
        <v>20</v>
      </c>
      <c r="AVQ62" s="4">
        <v>2</v>
      </c>
      <c r="AVR62" s="4">
        <v>0</v>
      </c>
      <c r="AVS62" s="4">
        <v>0</v>
      </c>
      <c r="AVT62" s="4">
        <v>10</v>
      </c>
      <c r="AVU62" s="4">
        <v>2</v>
      </c>
      <c r="AVV62" s="4">
        <v>4</v>
      </c>
      <c r="AVW62" s="4">
        <v>2</v>
      </c>
      <c r="AVX62" s="4">
        <v>418</v>
      </c>
      <c r="AVY62" s="4">
        <v>475</v>
      </c>
      <c r="AVZ62" s="4">
        <v>1</v>
      </c>
      <c r="AWA62" s="4">
        <v>44</v>
      </c>
      <c r="AWB62" s="4">
        <v>3</v>
      </c>
      <c r="AWC62" s="4" t="s">
        <v>1680</v>
      </c>
      <c r="AWD62" s="4">
        <v>11</v>
      </c>
      <c r="AWE62" s="4" t="s">
        <v>1671</v>
      </c>
      <c r="AWF62" s="4">
        <v>12</v>
      </c>
      <c r="AWG62" s="4">
        <v>13</v>
      </c>
      <c r="AWH62" s="4">
        <v>7</v>
      </c>
      <c r="AWI62" s="4">
        <v>0</v>
      </c>
      <c r="AWJ62" s="4">
        <v>0</v>
      </c>
      <c r="AWK62" s="4">
        <v>0</v>
      </c>
      <c r="AWL62" s="4">
        <v>0</v>
      </c>
      <c r="AWM62" s="4">
        <v>0</v>
      </c>
      <c r="AWN62" s="4">
        <v>0</v>
      </c>
      <c r="AWO62" s="4">
        <v>0</v>
      </c>
      <c r="AWP62" s="4">
        <v>0</v>
      </c>
      <c r="AWQ62" s="4">
        <v>0.9</v>
      </c>
      <c r="AWR62" s="4">
        <v>0</v>
      </c>
      <c r="AWS62" s="4">
        <v>0</v>
      </c>
      <c r="AWT62" s="4">
        <v>0</v>
      </c>
      <c r="AWU62" s="4">
        <v>0</v>
      </c>
      <c r="AWV62" s="4">
        <v>0</v>
      </c>
      <c r="AWW62" s="4">
        <v>0</v>
      </c>
      <c r="AWX62" s="4">
        <v>0</v>
      </c>
      <c r="AWY62" s="4">
        <v>0</v>
      </c>
      <c r="AWZ62" s="4">
        <v>2</v>
      </c>
      <c r="AXA62" s="4">
        <v>5</v>
      </c>
      <c r="AXB62" s="4">
        <v>0</v>
      </c>
      <c r="AXC62" s="4">
        <v>0</v>
      </c>
      <c r="AXD62" s="4">
        <v>0</v>
      </c>
      <c r="AXE62" s="4">
        <v>0</v>
      </c>
      <c r="AXF62" s="4">
        <v>0</v>
      </c>
      <c r="AXG62" s="4">
        <v>0</v>
      </c>
      <c r="AXH62" s="4">
        <v>0</v>
      </c>
      <c r="AXI62" s="4">
        <v>0</v>
      </c>
      <c r="AXJ62" s="4">
        <v>0</v>
      </c>
      <c r="AXK62" s="4">
        <v>0</v>
      </c>
      <c r="AXL62" s="4">
        <v>0</v>
      </c>
      <c r="AXM62" s="4">
        <v>0</v>
      </c>
      <c r="AXN62" s="4">
        <v>0</v>
      </c>
      <c r="AXO62" s="4">
        <v>0</v>
      </c>
      <c r="AXP62" s="4">
        <v>0</v>
      </c>
      <c r="AXQ62" s="4">
        <v>0</v>
      </c>
      <c r="AXR62" s="4">
        <v>0</v>
      </c>
      <c r="AXS62" s="4">
        <v>0</v>
      </c>
      <c r="AXT62" s="4">
        <v>0</v>
      </c>
      <c r="AXU62" s="4">
        <v>0</v>
      </c>
      <c r="AXV62" s="4">
        <v>0</v>
      </c>
      <c r="AXW62" s="4">
        <v>0</v>
      </c>
      <c r="AXX62" s="4">
        <v>0</v>
      </c>
      <c r="AXY62" s="4">
        <v>0</v>
      </c>
      <c r="AXZ62" s="4">
        <v>0</v>
      </c>
      <c r="AYA62" s="4">
        <v>0</v>
      </c>
      <c r="AYB62" s="4">
        <v>0</v>
      </c>
      <c r="AYC62" s="4">
        <v>0</v>
      </c>
      <c r="AYD62" s="4">
        <v>0</v>
      </c>
      <c r="AYE62" s="4">
        <v>0</v>
      </c>
      <c r="AYF62" s="4">
        <v>0</v>
      </c>
      <c r="AYG62" s="4">
        <v>0</v>
      </c>
      <c r="AYH62" s="4">
        <v>0</v>
      </c>
      <c r="AYI62" s="4">
        <v>0</v>
      </c>
      <c r="AYJ62" s="4">
        <v>0</v>
      </c>
      <c r="AYK62" s="4">
        <v>0</v>
      </c>
      <c r="AYL62" s="4">
        <v>0</v>
      </c>
      <c r="AYM62" s="4">
        <v>0</v>
      </c>
      <c r="AYN62" s="4">
        <v>0</v>
      </c>
      <c r="AYO62" s="4">
        <v>0</v>
      </c>
      <c r="AYP62" s="4">
        <v>0</v>
      </c>
      <c r="AYQ62" s="4">
        <v>0</v>
      </c>
      <c r="AYR62" s="4">
        <v>0</v>
      </c>
      <c r="AYS62" s="4">
        <v>0</v>
      </c>
      <c r="AYT62" s="4">
        <v>1</v>
      </c>
      <c r="AYU62" s="4">
        <v>1</v>
      </c>
      <c r="AYV62" s="4">
        <v>0</v>
      </c>
      <c r="AYW62" s="4">
        <v>0</v>
      </c>
      <c r="AYX62" s="4">
        <v>0</v>
      </c>
      <c r="AYY62" s="4">
        <v>0</v>
      </c>
      <c r="AYZ62" s="4">
        <v>0</v>
      </c>
      <c r="AZA62" s="4">
        <v>0</v>
      </c>
      <c r="AZB62" s="4">
        <v>1</v>
      </c>
      <c r="AZC62" s="4">
        <v>0</v>
      </c>
      <c r="AZD62" s="4">
        <v>0</v>
      </c>
      <c r="AZE62" s="4">
        <v>0</v>
      </c>
      <c r="AZF62" s="4">
        <v>0</v>
      </c>
      <c r="AZG62" s="4">
        <v>0</v>
      </c>
      <c r="AZH62" s="4">
        <v>0</v>
      </c>
      <c r="AZI62" s="4">
        <v>0</v>
      </c>
      <c r="AZJ62" s="4">
        <v>0</v>
      </c>
      <c r="AZK62" s="4">
        <v>0</v>
      </c>
      <c r="AZL62" s="4">
        <v>0</v>
      </c>
      <c r="AZM62" s="4">
        <v>0</v>
      </c>
      <c r="AZN62" s="4">
        <v>0</v>
      </c>
      <c r="AZO62" s="4">
        <v>0</v>
      </c>
      <c r="AZP62" s="4">
        <v>0</v>
      </c>
      <c r="AZQ62" s="4">
        <v>0</v>
      </c>
      <c r="AZR62" s="4">
        <v>0</v>
      </c>
      <c r="AZS62" s="4">
        <v>0</v>
      </c>
      <c r="AZT62" s="4">
        <v>0</v>
      </c>
      <c r="AZU62" s="4">
        <v>0</v>
      </c>
      <c r="AZV62" s="4">
        <v>0</v>
      </c>
      <c r="AZW62" s="4">
        <v>0</v>
      </c>
      <c r="AZX62" s="4">
        <v>0</v>
      </c>
      <c r="AZY62" s="4">
        <v>0</v>
      </c>
      <c r="AZZ62" s="4">
        <v>0</v>
      </c>
      <c r="BAA62" s="4">
        <v>0</v>
      </c>
      <c r="BAB62" s="4">
        <v>0</v>
      </c>
      <c r="BAC62" s="4">
        <v>0</v>
      </c>
      <c r="BAD62" s="4">
        <v>0</v>
      </c>
      <c r="BAE62" s="4">
        <v>0</v>
      </c>
      <c r="BAF62" s="4">
        <v>0</v>
      </c>
      <c r="BAG62" s="4">
        <v>0</v>
      </c>
      <c r="BAH62" s="4">
        <v>0</v>
      </c>
      <c r="BAI62" s="4">
        <v>0</v>
      </c>
      <c r="BAJ62" s="4">
        <v>0</v>
      </c>
      <c r="BAK62" s="4">
        <v>0</v>
      </c>
      <c r="BAL62" s="4">
        <v>0</v>
      </c>
      <c r="BAM62" s="4">
        <v>0</v>
      </c>
      <c r="BAN62" s="4">
        <v>0</v>
      </c>
      <c r="BAO62" s="4">
        <v>0</v>
      </c>
      <c r="BAP62" s="4">
        <v>0</v>
      </c>
      <c r="BAQ62" s="4">
        <v>0</v>
      </c>
      <c r="BAR62" s="4">
        <v>1</v>
      </c>
      <c r="BAS62" s="4">
        <v>0</v>
      </c>
      <c r="BAT62" s="4">
        <v>0</v>
      </c>
      <c r="BAU62" s="4">
        <v>0</v>
      </c>
      <c r="BAV62" s="4">
        <v>0</v>
      </c>
      <c r="BAW62" s="4">
        <v>0</v>
      </c>
      <c r="BAX62" s="4">
        <v>0</v>
      </c>
      <c r="BAY62" s="4">
        <v>0</v>
      </c>
      <c r="BAZ62" s="4">
        <v>0</v>
      </c>
      <c r="BBA62" s="4">
        <v>0</v>
      </c>
      <c r="BBB62" s="4">
        <v>0</v>
      </c>
      <c r="BBC62" s="4">
        <v>0</v>
      </c>
      <c r="BBD62" s="4">
        <v>0</v>
      </c>
      <c r="BBE62" s="4">
        <v>0</v>
      </c>
      <c r="BBF62" s="4">
        <v>5</v>
      </c>
      <c r="BBG62" s="4">
        <v>0</v>
      </c>
      <c r="BBH62" s="4">
        <v>0</v>
      </c>
      <c r="BBI62" s="4">
        <v>0</v>
      </c>
      <c r="BBJ62" s="4">
        <v>0</v>
      </c>
      <c r="BBK62" s="4">
        <v>0</v>
      </c>
      <c r="BBL62" s="4">
        <v>0</v>
      </c>
      <c r="BBM62" s="4">
        <v>0</v>
      </c>
      <c r="BBN62" s="4">
        <v>0</v>
      </c>
      <c r="BBO62" s="4">
        <v>0</v>
      </c>
      <c r="BBP62" s="4">
        <v>0</v>
      </c>
      <c r="BBQ62" s="4">
        <v>11</v>
      </c>
      <c r="BBR62" s="4">
        <v>0</v>
      </c>
      <c r="BBS62" s="4">
        <v>0</v>
      </c>
      <c r="BBT62" s="4">
        <v>0</v>
      </c>
      <c r="BBU62" s="4">
        <v>0</v>
      </c>
      <c r="BBV62" s="4">
        <v>0</v>
      </c>
      <c r="BBW62" s="4">
        <v>0</v>
      </c>
      <c r="BBX62" s="4">
        <v>0</v>
      </c>
      <c r="BBY62" s="4">
        <v>0</v>
      </c>
      <c r="BBZ62" s="4">
        <v>0</v>
      </c>
      <c r="BCA62" s="4">
        <v>0</v>
      </c>
      <c r="BCB62" s="4">
        <v>0</v>
      </c>
      <c r="BCC62" s="4">
        <v>0</v>
      </c>
      <c r="BCD62" s="4">
        <v>0</v>
      </c>
      <c r="BCE62" s="4">
        <v>0</v>
      </c>
      <c r="BCF62" s="4">
        <v>0</v>
      </c>
      <c r="BCG62" s="4">
        <v>0</v>
      </c>
      <c r="BCH62" s="4">
        <v>0</v>
      </c>
      <c r="BCI62" s="4">
        <v>0</v>
      </c>
      <c r="BCJ62" s="4">
        <v>0</v>
      </c>
      <c r="BCK62" s="4">
        <v>0</v>
      </c>
      <c r="BCL62" s="4">
        <v>0</v>
      </c>
      <c r="BCM62" s="4">
        <v>0</v>
      </c>
      <c r="BCN62" s="4">
        <v>0</v>
      </c>
      <c r="BCO62" s="4">
        <v>0</v>
      </c>
      <c r="BCP62" s="4">
        <v>0</v>
      </c>
      <c r="BCQ62" s="4">
        <v>0</v>
      </c>
      <c r="BCR62" s="4">
        <v>4</v>
      </c>
      <c r="BCS62" s="4">
        <v>0</v>
      </c>
      <c r="BCT62" s="4">
        <v>0</v>
      </c>
      <c r="BCU62" s="4">
        <v>0</v>
      </c>
      <c r="BCV62" s="4">
        <v>0</v>
      </c>
      <c r="BCW62" s="4">
        <v>0</v>
      </c>
      <c r="BCX62" s="4">
        <v>0</v>
      </c>
      <c r="BCY62" s="4">
        <v>0</v>
      </c>
      <c r="BCZ62" s="4">
        <v>0</v>
      </c>
      <c r="BDA62" s="4">
        <v>0</v>
      </c>
      <c r="BDB62" s="4">
        <v>0</v>
      </c>
      <c r="BDC62" s="4">
        <v>0</v>
      </c>
      <c r="BDD62" s="4">
        <v>0</v>
      </c>
      <c r="BDE62" s="4">
        <v>1</v>
      </c>
      <c r="BDF62" s="4">
        <v>0</v>
      </c>
      <c r="BDG62" s="4">
        <v>1</v>
      </c>
      <c r="BDH62" s="4">
        <v>0</v>
      </c>
      <c r="BDI62" s="4">
        <v>0</v>
      </c>
      <c r="BDJ62" s="4">
        <v>0</v>
      </c>
      <c r="BDK62" s="4">
        <v>0</v>
      </c>
      <c r="BDL62" s="4">
        <v>0</v>
      </c>
      <c r="BDM62" s="4">
        <v>0</v>
      </c>
      <c r="BDN62" s="4">
        <v>0</v>
      </c>
      <c r="BDO62" s="4">
        <v>0</v>
      </c>
      <c r="BDP62" s="4">
        <v>1</v>
      </c>
      <c r="BDQ62" s="4">
        <v>0</v>
      </c>
      <c r="BDR62" s="4">
        <v>0</v>
      </c>
      <c r="BDS62" s="4">
        <v>0</v>
      </c>
      <c r="BDT62" s="4">
        <v>9</v>
      </c>
      <c r="BDU62" s="4">
        <v>0</v>
      </c>
      <c r="BDV62" s="4">
        <v>0</v>
      </c>
      <c r="BDW62" s="4">
        <v>0</v>
      </c>
      <c r="BDX62" s="4">
        <v>0</v>
      </c>
      <c r="BDY62" s="4">
        <v>0</v>
      </c>
      <c r="BDZ62" s="4">
        <v>0</v>
      </c>
      <c r="BEA62" s="4">
        <v>0</v>
      </c>
      <c r="BEB62" s="4">
        <v>0</v>
      </c>
      <c r="BEC62" s="4">
        <v>0</v>
      </c>
      <c r="BED62" s="4">
        <v>0</v>
      </c>
      <c r="BEE62" s="4">
        <v>0</v>
      </c>
      <c r="BEF62" s="4">
        <v>0</v>
      </c>
      <c r="BEG62" s="4">
        <v>0</v>
      </c>
      <c r="BEH62" s="4">
        <v>0</v>
      </c>
      <c r="BEI62" s="4">
        <v>0</v>
      </c>
      <c r="BEJ62" s="4">
        <v>0</v>
      </c>
      <c r="BEK62" s="4">
        <v>0</v>
      </c>
      <c r="BEL62" s="4">
        <v>0</v>
      </c>
      <c r="BEM62" s="4">
        <v>0</v>
      </c>
      <c r="BEN62" s="4">
        <v>0</v>
      </c>
      <c r="BEO62" s="4">
        <v>0</v>
      </c>
      <c r="BEP62" s="4">
        <v>0</v>
      </c>
      <c r="BEQ62" s="4">
        <v>0</v>
      </c>
      <c r="BER62" s="4">
        <v>0</v>
      </c>
      <c r="BES62" s="4">
        <v>0</v>
      </c>
      <c r="BET62" s="4">
        <v>0</v>
      </c>
      <c r="BEU62" s="4">
        <v>0</v>
      </c>
      <c r="BEV62" s="4">
        <v>0</v>
      </c>
      <c r="BEW62" s="4">
        <v>0</v>
      </c>
      <c r="BEX62" s="4">
        <v>0</v>
      </c>
      <c r="BEY62" s="4">
        <v>0</v>
      </c>
      <c r="BEZ62" s="4">
        <v>0</v>
      </c>
      <c r="BFA62" s="4">
        <v>1</v>
      </c>
      <c r="BFB62" s="4">
        <v>0</v>
      </c>
      <c r="BFC62" s="4">
        <v>0</v>
      </c>
      <c r="BFD62" s="4">
        <v>0</v>
      </c>
      <c r="BFE62" s="4">
        <v>0</v>
      </c>
      <c r="BFF62" s="4">
        <v>0</v>
      </c>
      <c r="BFG62" s="4">
        <v>0</v>
      </c>
      <c r="BFH62" s="4">
        <v>0</v>
      </c>
      <c r="BFI62" s="4">
        <v>0</v>
      </c>
      <c r="BFJ62" s="4">
        <v>0</v>
      </c>
      <c r="BFK62" s="4">
        <v>0</v>
      </c>
      <c r="BFL62" s="4">
        <v>0</v>
      </c>
      <c r="BFM62" s="4">
        <v>0</v>
      </c>
      <c r="BFN62" s="4">
        <v>0</v>
      </c>
      <c r="BFO62" s="4">
        <v>0</v>
      </c>
      <c r="BFP62" s="4">
        <v>0</v>
      </c>
      <c r="BFQ62" s="4">
        <v>0</v>
      </c>
      <c r="BFR62" s="4">
        <v>0</v>
      </c>
      <c r="BFS62" s="4">
        <v>0</v>
      </c>
      <c r="BFT62" s="4">
        <v>0</v>
      </c>
      <c r="BFU62" s="4">
        <v>0</v>
      </c>
      <c r="BFV62" s="4">
        <v>0</v>
      </c>
      <c r="BFW62" s="4">
        <v>0</v>
      </c>
      <c r="BFX62" s="4">
        <v>0</v>
      </c>
      <c r="BFY62" s="4">
        <v>0</v>
      </c>
      <c r="BFZ62" s="4">
        <v>0</v>
      </c>
      <c r="BGA62" s="4">
        <v>0</v>
      </c>
      <c r="BGB62" s="4">
        <v>0</v>
      </c>
      <c r="BGC62" s="4">
        <v>0</v>
      </c>
      <c r="BGD62" s="4">
        <v>0</v>
      </c>
      <c r="BGE62" s="4">
        <v>0</v>
      </c>
      <c r="BGF62" s="4">
        <v>0</v>
      </c>
      <c r="BGG62" s="4">
        <v>0</v>
      </c>
      <c r="BGH62" s="4">
        <v>0</v>
      </c>
      <c r="BGI62" s="4">
        <v>0</v>
      </c>
      <c r="BGJ62" s="4">
        <v>0</v>
      </c>
      <c r="BGK62" s="4">
        <v>0</v>
      </c>
      <c r="BGL62" s="4">
        <v>0</v>
      </c>
      <c r="BGM62" s="4">
        <v>0</v>
      </c>
      <c r="BGN62" s="4">
        <v>0</v>
      </c>
      <c r="BGO62" s="4">
        <v>0</v>
      </c>
      <c r="BGP62" s="4">
        <v>0</v>
      </c>
      <c r="BGQ62" s="4">
        <v>0</v>
      </c>
      <c r="BGR62" s="4">
        <v>0</v>
      </c>
      <c r="BGS62" s="4">
        <v>0</v>
      </c>
      <c r="BGT62" s="4">
        <v>0</v>
      </c>
      <c r="BGU62" s="4">
        <v>0</v>
      </c>
      <c r="BGV62" s="4">
        <v>0</v>
      </c>
      <c r="BGW62" s="4">
        <v>0</v>
      </c>
      <c r="BGX62" s="4">
        <v>0</v>
      </c>
      <c r="BGY62" s="4">
        <v>0</v>
      </c>
      <c r="BGZ62" s="4">
        <v>0</v>
      </c>
      <c r="BHA62" s="4">
        <v>0</v>
      </c>
      <c r="BHB62" s="4">
        <v>0</v>
      </c>
      <c r="BHC62" s="4">
        <v>0</v>
      </c>
      <c r="BHD62" s="4">
        <v>0</v>
      </c>
      <c r="BHE62" s="4">
        <v>0</v>
      </c>
      <c r="BHF62" s="4">
        <v>0</v>
      </c>
      <c r="BHG62" s="4">
        <v>0</v>
      </c>
      <c r="BHH62" s="4">
        <v>0</v>
      </c>
      <c r="BHI62" s="4">
        <v>0</v>
      </c>
      <c r="BHJ62" s="4">
        <v>0</v>
      </c>
      <c r="BHK62" s="4">
        <v>0</v>
      </c>
      <c r="BHL62" s="4">
        <v>0</v>
      </c>
      <c r="BHM62" s="4">
        <v>0</v>
      </c>
      <c r="BHN62" s="4">
        <v>0</v>
      </c>
      <c r="BHO62" s="4">
        <v>0</v>
      </c>
      <c r="BHP62" s="4">
        <v>0</v>
      </c>
      <c r="BHQ62" s="4">
        <v>0</v>
      </c>
      <c r="BHR62" s="4">
        <v>0</v>
      </c>
      <c r="BHS62" s="4">
        <v>0</v>
      </c>
      <c r="BHT62" s="4">
        <v>0</v>
      </c>
      <c r="BHU62" s="4">
        <v>0</v>
      </c>
      <c r="BHV62" s="4">
        <v>0</v>
      </c>
      <c r="BHW62" s="4">
        <v>0</v>
      </c>
      <c r="BHX62" s="4">
        <v>0</v>
      </c>
      <c r="BHY62" s="4">
        <v>0</v>
      </c>
      <c r="BHZ62" s="4">
        <v>0</v>
      </c>
      <c r="BIA62" s="4">
        <v>0</v>
      </c>
      <c r="BIB62" s="4">
        <v>0</v>
      </c>
      <c r="BIC62" s="4">
        <v>0</v>
      </c>
      <c r="BID62" s="4">
        <v>0</v>
      </c>
      <c r="BIE62" s="4">
        <v>0</v>
      </c>
      <c r="BIF62" s="4">
        <v>0</v>
      </c>
      <c r="BIG62" s="4">
        <v>0</v>
      </c>
      <c r="BIH62" s="4">
        <v>0</v>
      </c>
      <c r="BII62" s="4">
        <v>0</v>
      </c>
      <c r="BIJ62" s="4">
        <v>0</v>
      </c>
      <c r="BIK62" s="4">
        <v>0</v>
      </c>
      <c r="BIL62" s="4">
        <v>0</v>
      </c>
      <c r="BIM62" s="4">
        <v>0</v>
      </c>
      <c r="BIN62" s="4">
        <v>0</v>
      </c>
      <c r="BIO62" s="4">
        <v>0</v>
      </c>
      <c r="BIP62" s="4">
        <v>0</v>
      </c>
      <c r="BIQ62" s="4">
        <v>0</v>
      </c>
      <c r="BIR62" s="4">
        <v>0</v>
      </c>
      <c r="BIS62" s="4">
        <v>0</v>
      </c>
      <c r="BIT62" s="4">
        <v>0</v>
      </c>
      <c r="BIU62" s="4">
        <v>0</v>
      </c>
      <c r="BIV62" s="4">
        <v>0</v>
      </c>
      <c r="BIW62" s="4">
        <v>0</v>
      </c>
      <c r="BIX62" s="4">
        <v>0</v>
      </c>
      <c r="BIY62" s="4">
        <v>0</v>
      </c>
      <c r="BIZ62" s="4">
        <v>0</v>
      </c>
      <c r="BJA62" s="4">
        <v>0</v>
      </c>
      <c r="BJB62" s="4">
        <v>0</v>
      </c>
      <c r="BJC62" s="4">
        <v>0</v>
      </c>
      <c r="BJD62" s="4">
        <v>0</v>
      </c>
      <c r="BJE62" s="4">
        <v>0</v>
      </c>
      <c r="BJF62" s="4">
        <v>0</v>
      </c>
      <c r="BJG62" s="4">
        <v>0</v>
      </c>
      <c r="BJH62" s="4">
        <v>0</v>
      </c>
      <c r="BJI62" s="4">
        <v>0</v>
      </c>
      <c r="BJJ62" s="4">
        <v>0</v>
      </c>
      <c r="BJK62" s="4">
        <v>0</v>
      </c>
      <c r="BJL62" s="4">
        <v>0</v>
      </c>
      <c r="BJM62" s="4">
        <v>0</v>
      </c>
      <c r="BJN62" s="4">
        <v>0</v>
      </c>
      <c r="BJO62" s="4">
        <v>0</v>
      </c>
      <c r="BJP62" s="4">
        <v>0</v>
      </c>
      <c r="BJQ62" s="4">
        <v>0</v>
      </c>
      <c r="BJR62" s="4">
        <v>0</v>
      </c>
      <c r="BJS62" s="4">
        <v>0</v>
      </c>
      <c r="BJT62" s="4">
        <v>0</v>
      </c>
      <c r="BJU62" s="4">
        <v>0</v>
      </c>
      <c r="BJV62" s="4">
        <v>0</v>
      </c>
      <c r="BJW62" s="4">
        <v>0</v>
      </c>
      <c r="BJX62" s="4">
        <v>0</v>
      </c>
      <c r="BJY62" s="4">
        <v>0</v>
      </c>
      <c r="BJZ62" s="4">
        <v>0</v>
      </c>
      <c r="BKA62" s="4">
        <v>0</v>
      </c>
      <c r="BKB62" s="4">
        <v>0</v>
      </c>
      <c r="BKC62" s="4">
        <v>0</v>
      </c>
      <c r="BKD62" s="4">
        <v>0</v>
      </c>
      <c r="BKE62" s="4">
        <v>0</v>
      </c>
      <c r="BKF62" s="4">
        <v>0</v>
      </c>
      <c r="BKG62" s="4">
        <v>0</v>
      </c>
      <c r="BKH62" s="4">
        <v>0</v>
      </c>
      <c r="BKI62" s="4">
        <v>0</v>
      </c>
      <c r="BKJ62" s="4">
        <v>0</v>
      </c>
      <c r="BKK62" s="4">
        <v>0</v>
      </c>
      <c r="BKL62" s="4">
        <v>0</v>
      </c>
      <c r="BKM62" s="4">
        <v>0</v>
      </c>
      <c r="BKN62" s="4">
        <v>0</v>
      </c>
      <c r="BKO62" s="4">
        <v>0</v>
      </c>
      <c r="BKP62" s="4">
        <v>0</v>
      </c>
      <c r="BKQ62" s="4">
        <v>0</v>
      </c>
      <c r="BKR62" s="4">
        <v>0</v>
      </c>
      <c r="BKS62" s="4">
        <v>0</v>
      </c>
      <c r="BKT62" s="4">
        <v>0</v>
      </c>
      <c r="BKU62" s="4">
        <v>0</v>
      </c>
      <c r="BKV62" s="4">
        <v>0</v>
      </c>
      <c r="BKW62" s="4">
        <v>0</v>
      </c>
      <c r="BKX62" s="4">
        <v>0</v>
      </c>
      <c r="BKY62" s="4">
        <v>0</v>
      </c>
      <c r="BKZ62" s="4">
        <v>0</v>
      </c>
      <c r="BLA62" s="4">
        <v>0</v>
      </c>
      <c r="BLB62" s="4">
        <v>0</v>
      </c>
      <c r="BLC62" s="4">
        <v>0</v>
      </c>
      <c r="BLD62" s="4">
        <v>0</v>
      </c>
      <c r="BLE62" s="4">
        <v>0</v>
      </c>
      <c r="BLF62" s="4">
        <v>0</v>
      </c>
      <c r="BLG62" s="4">
        <v>0</v>
      </c>
      <c r="BLH62" s="4">
        <v>0</v>
      </c>
      <c r="BLI62" s="4">
        <v>0</v>
      </c>
      <c r="BLJ62" s="4">
        <v>0</v>
      </c>
      <c r="BLK62" s="4">
        <v>0</v>
      </c>
    </row>
  </sheetData>
  <conditionalFormatting sqref="I2:J62">
    <cfRule type="cellIs" dxfId="11" priority="8" operator="equal">
      <formula>0</formula>
    </cfRule>
    <cfRule type="cellIs" dxfId="10" priority="9" operator="equal">
      <formula>1</formula>
    </cfRule>
    <cfRule type="cellIs" dxfId="9" priority="10" operator="equal">
      <formula>2</formula>
    </cfRule>
    <cfRule type="cellIs" dxfId="8" priority="11" operator="equal">
      <formula>5</formula>
    </cfRule>
    <cfRule type="cellIs" dxfId="7" priority="12" operator="equal">
      <formula>6</formula>
    </cfRule>
    <cfRule type="cellIs" dxfId="6" priority="13" operator="equal">
      <formula>7</formula>
    </cfRule>
  </conditionalFormatting>
  <conditionalFormatting sqref="K1:L1048576">
    <cfRule type="cellIs" priority="1" operator="lessThan">
      <formula>2</formula>
    </cfRule>
  </conditionalFormatting>
  <conditionalFormatting sqref="L2:L62">
    <cfRule type="cellIs" dxfId="5" priority="2" operator="equal">
      <formula>0</formula>
    </cfRule>
    <cfRule type="cellIs" dxfId="4" priority="3" operator="equal">
      <formula>1</formula>
    </cfRule>
    <cfRule type="cellIs" dxfId="3" priority="4" operator="equal">
      <formula>2</formula>
    </cfRule>
    <cfRule type="cellIs" dxfId="2" priority="5" operator="equal">
      <formula>5</formula>
    </cfRule>
    <cfRule type="cellIs" dxfId="1" priority="6" operator="equal">
      <formula>6</formula>
    </cfRule>
    <cfRule type="cellIs" dxfId="0" priority="7" operator="equal">
      <formula>7</formula>
    </cfRule>
  </conditionalFormatting>
  <dataValidations disablePrompts="1" count="1">
    <dataValidation type="list" allowBlank="1" showInputMessage="1" showErrorMessage="1" sqref="M2:M50 O63:O1048576 M2:M1048576" xr:uid="{FD3E6BE2-8E6B-CD41-B147-811F7BB398D6}">
      <formula1>"Assembly,Avalanche,Blackout,Citadel,Cold Storage,Construct,Edge,Epitaph,Foundry,Ghost Town,Guardian,Heretic,High Ground,Icebox,Isolation,Last Resort,Longshore,Narrows,Orbital,Rat's Nest,Sandbox,Sandtrap,Snowbound,Standoff,The Pit,Valhalla,Waterfall"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Isaac S.</dc:creator>
  <cp:lastModifiedBy>Lee, Isaac S.</cp:lastModifiedBy>
  <dcterms:created xsi:type="dcterms:W3CDTF">2026-05-29T18:47:00Z</dcterms:created>
  <dcterms:modified xsi:type="dcterms:W3CDTF">2026-05-31T17:06:53Z</dcterms:modified>
</cp:coreProperties>
</file>